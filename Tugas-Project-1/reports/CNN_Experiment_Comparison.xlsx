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_SETUP" sheetId="1" r:id="rId5"/>
    <sheet state="visible" name="DATASET_AUDIT" sheetId="2" r:id="rId6"/>
    <sheet state="visible" name="MODEL_ARCHITECTURE" sheetId="3" r:id="rId7"/>
    <sheet state="visible" name="TRAINING_HISTORY" sheetId="4" r:id="rId8"/>
    <sheet state="visible" name="CONFUSION_MATRIX" sheetId="5" r:id="rId9"/>
    <sheet state="visible" name="FINAL_COMPARISON" sheetId="6" r:id="rId10"/>
    <sheet state="visible" name="VISUALIZATIONS" sheetId="7" r:id="rId11"/>
    <sheet state="visible" name="EXECUTION_LOG" sheetId="8" r:id="rId12"/>
  </sheets>
  <definedNames/>
  <calcPr/>
</workbook>
</file>

<file path=xl/sharedStrings.xml><?xml version="1.0" encoding="utf-8"?>
<sst xmlns="http://schemas.openxmlformats.org/spreadsheetml/2006/main" count="547" uniqueCount="198">
  <si>
    <t>Experiment ID</t>
  </si>
  <si>
    <t>Model</t>
  </si>
  <si>
    <t>Epoch</t>
  </si>
  <si>
    <t>Train loss</t>
  </si>
  <si>
    <t>Train accuracy</t>
  </si>
  <si>
    <t>Dataset name</t>
  </si>
  <si>
    <t>Validation loss</t>
  </si>
  <si>
    <t>Validation accuracy</t>
  </si>
  <si>
    <t>Validation macro-F1</t>
  </si>
  <si>
    <t>Learning rate</t>
  </si>
  <si>
    <t>Epoch duration</t>
  </si>
  <si>
    <t>Status</t>
  </si>
  <si>
    <t>Record Key</t>
  </si>
  <si>
    <t>celebA_cnn_v1</t>
  </si>
  <si>
    <t>Architecture family</t>
  </si>
  <si>
    <t>alexnet</t>
  </si>
  <si>
    <t>Dataset URL</t>
  </si>
  <si>
    <t>Weighted layers</t>
  </si>
  <si>
    <t>Dataset version</t>
  </si>
  <si>
    <t>Dataset</t>
  </si>
  <si>
    <t>Total parameters</t>
  </si>
  <si>
    <t>Dataset scope</t>
  </si>
  <si>
    <t>EVALUATED</t>
  </si>
  <si>
    <t>celebA_cnn_v1|MAIN|alexnet|1</t>
  </si>
  <si>
    <t>Trainable parameters</t>
  </si>
  <si>
    <t>Total images</t>
  </si>
  <si>
    <t>Image size</t>
  </si>
  <si>
    <t>Model size MB</t>
  </si>
  <si>
    <t>Train count</t>
  </si>
  <si>
    <t>celebA_cnn_v1|MAIN|alexnet|2</t>
  </si>
  <si>
    <t>Pretrained policy</t>
  </si>
  <si>
    <t>Pretrained weights</t>
  </si>
  <si>
    <t>Validation count</t>
  </si>
  <si>
    <t>celebA_cnn_v1|MAIN|alexnet|3</t>
  </si>
  <si>
    <t>Notebook link</t>
  </si>
  <si>
    <t>Test count</t>
  </si>
  <si>
    <t>Optimizer</t>
  </si>
  <si>
    <t>celebA_cnn_v1|MAIN|alexnet|4</t>
  </si>
  <si>
    <t>Female train</t>
  </si>
  <si>
    <t>Checkpoint link</t>
  </si>
  <si>
    <t>celebA_cnn_v1|MAIN|alexnet|5</t>
  </si>
  <si>
    <t>Male train</t>
  </si>
  <si>
    <t>Layer definition</t>
  </si>
  <si>
    <t>Weight decay</t>
  </si>
  <si>
    <t>Female validation</t>
  </si>
  <si>
    <t>Loss function</t>
  </si>
  <si>
    <t>celebA_cnn_v1|MAIN|alexnet|6</t>
  </si>
  <si>
    <t>Male validation</t>
  </si>
  <si>
    <t>Batch size</t>
  </si>
  <si>
    <t>Female test</t>
  </si>
  <si>
    <t>celebA_cnn_v1|MAIN|alexnet|7</t>
  </si>
  <si>
    <t>Sequential CNN</t>
  </si>
  <si>
    <t>Male test</t>
  </si>
  <si>
    <t>celebA_cnn_v1|MAIN|alexnet|8</t>
  </si>
  <si>
    <t>Gradient accumulation</t>
  </si>
  <si>
    <t>Split strategy</t>
  </si>
  <si>
    <t>Effective batch size</t>
  </si>
  <si>
    <t>Manifest reference</t>
  </si>
  <si>
    <t>Identity metadata</t>
  </si>
  <si>
    <t>Scheduler</t>
  </si>
  <si>
    <t>Identity overlap count</t>
  </si>
  <si>
    <t>Seed</t>
  </si>
  <si>
    <t>AlexNet_Weights.IMAGENET1K_V1</t>
  </si>
  <si>
    <t>Normalization</t>
  </si>
  <si>
    <t>CelebA</t>
  </si>
  <si>
    <t>Augmentation</t>
  </si>
  <si>
    <t>https://drive.google.com/file/d/1bvw9PPusMgFmGR3hkG44TvOpR1gUsomY/view?usp=drivesdk</t>
  </si>
  <si>
    <t>https://www.kaggle.com/datasets/ashishjangra27/gender-recognition-200k-images-celeba</t>
  </si>
  <si>
    <t>Checkpoint selection</t>
  </si>
  <si>
    <t>Framework version</t>
  </si>
  <si>
    <t>Runtime/GPU</t>
  </si>
  <si>
    <t>CONFIGURATION MATCH</t>
  </si>
  <si>
    <t>Contract hash</t>
  </si>
  <si>
    <t>ashishjangra27/gender-recognition-200k-images-celeba</t>
  </si>
  <si>
    <t>1</t>
  </si>
  <si>
    <t>https://drive.google.com/file/d/1RcudvpeCvKFOg43TFjk9WHjFYKc7NvKB/view?usp=drivesdk</t>
  </si>
  <si>
    <t>FULL</t>
  </si>
  <si>
    <t>[224, 224]</t>
  </si>
  <si>
    <t>ImageNet-1K</t>
  </si>
  <si>
    <t>AdamW</t>
  </si>
  <si>
    <t>Conv2d + Linear modules (branches included; not paper depth)</t>
  </si>
  <si>
    <t>celebA_cnn_v1|MAIN|alexnet</t>
  </si>
  <si>
    <t>CrossEntropyLoss</t>
  </si>
  <si>
    <t>vgg16</t>
  </si>
  <si>
    <t>official splits retained; exact-content duplicates excluded from later split (train &gt; validation &gt; test); no repartition</t>
  </si>
  <si>
    <t>VGG</t>
  </si>
  <si>
    <t>02_Shared/manifest_1600968b82ddf239.csv</t>
  </si>
  <si>
    <t>NOT AVAILABLE</t>
  </si>
  <si>
    <t>None</t>
  </si>
  <si>
    <t/>
  </si>
  <si>
    <t>[0.485, 0.456, 0.406] / [0.229, 0.224, 0.225]</t>
  </si>
  <si>
    <t>AUDITED</t>
  </si>
  <si>
    <t>VGG16_Weights.IMAGENET1K_V1</t>
  </si>
  <si>
    <t>Resize→RandomHorizontalFlip(p=0.5)→ToTensor→Normalize</t>
  </si>
  <si>
    <t>https://drive.google.com/file/d/1zAkqx5qY35lbVNqS2ECXl0Rww4okqsAH/view?usp=drivesdk</t>
  </si>
  <si>
    <t>validation_macro_f1</t>
  </si>
  <si>
    <t>celebA_cnn_v1|MAIN</t>
  </si>
  <si>
    <t>2.6.0</t>
  </si>
  <si>
    <t>Tesla T4 / 3.13.15</t>
  </si>
  <si>
    <t>MATCH</t>
  </si>
  <si>
    <t>52dfdd424bea17573eb88945929d3e04fffe6e8aba1970abb74d4c4d67bc9fb4</t>
  </si>
  <si>
    <t>Conv2d + Linear modules; calculated at runtime</t>
  </si>
  <si>
    <t>celebA_cnn_v1|MAIN|vgg16</t>
  </si>
  <si>
    <t>vgg19</t>
  </si>
  <si>
    <t>VGG19_Weights.IMAGENET1K_V1</t>
  </si>
  <si>
    <t>https://drive.google.com/file/d/1mbxUdi7jKOlkXBxoYXWQcTGn_4I3Uw6A/view?usp=drivesdk</t>
  </si>
  <si>
    <t>celebA_cnn_v1|MAIN|vgg19</t>
  </si>
  <si>
    <t>googlenet</t>
  </si>
  <si>
    <t>Inception v1</t>
  </si>
  <si>
    <t>NOT VERIFIED</t>
  </si>
  <si>
    <t>GoogLeNet_Weights.IMAGENET1K_V1</t>
  </si>
  <si>
    <t>https://drive.google.com/file/d/1Z39-kWHkqxd_xrO8piLx3IS4VyXkJxa6/view?usp=drivesdk</t>
  </si>
  <si>
    <t>celebA_cnn_v1|MAIN|googlenet</t>
  </si>
  <si>
    <t>resnet18</t>
  </si>
  <si>
    <t>Residual CNN</t>
  </si>
  <si>
    <t>ResNet18_Weights.IMAGENET1K_V1</t>
  </si>
  <si>
    <t>https://drive.google.com/file/d/19b3ajIiyNxjuRDiSZkVGEdCzlVhz1_M8/view?usp=drivesdk</t>
  </si>
  <si>
    <t>celebA_cnn_v1|MAIN|resnet18</t>
  </si>
  <si>
    <t>Test sample count</t>
  </si>
  <si>
    <t>TN</t>
  </si>
  <si>
    <t>FP</t>
  </si>
  <si>
    <t>FN</t>
  </si>
  <si>
    <t>TP</t>
  </si>
  <si>
    <t>Female correct</t>
  </si>
  <si>
    <t>Male correct</t>
  </si>
  <si>
    <t>Female misclassified</t>
  </si>
  <si>
    <t>Male misclassified</t>
  </si>
  <si>
    <t>Accuracy</t>
  </si>
  <si>
    <t>Precision Male</t>
  </si>
  <si>
    <t>Recall Male</t>
  </si>
  <si>
    <t>Specificity Male</t>
  </si>
  <si>
    <t>F1 Male</t>
  </si>
  <si>
    <t>Precision Female</t>
  </si>
  <si>
    <t>Recall Female</t>
  </si>
  <si>
    <t>F1 Female</t>
  </si>
  <si>
    <t>Macro F1</t>
  </si>
  <si>
    <t>Raw Matrix Image Link</t>
  </si>
  <si>
    <t>Normalized Matrix Image Link</t>
  </si>
  <si>
    <t>https://drive.google.com/file/d/10xQ78qeeNFmzn7mIw6Qfbgp_Xfsdl5Lj/view?usp=drivesdk</t>
  </si>
  <si>
    <t>https://drive.google.com/file/d/1XYoLp9Q8x_wgN4HT8CcDfO4X9m1Dv-Jq/view?usp=drivesdk</t>
  </si>
  <si>
    <t>NOT EVALUATED</t>
  </si>
  <si>
    <t>Precision macro</t>
  </si>
  <si>
    <t>Recall macro</t>
  </si>
  <si>
    <t>F1 macro</t>
  </si>
  <si>
    <t>Weighted F1</t>
  </si>
  <si>
    <t>Test loss</t>
  </si>
  <si>
    <t>Best epoch</t>
  </si>
  <si>
    <t>Training time (s)</t>
  </si>
  <si>
    <t>Inference time (ms)</t>
  </si>
  <si>
    <t>Peak GPU memory (MB)</t>
  </si>
  <si>
    <t>Confusion Matrix link</t>
  </si>
  <si>
    <t>Configuration match</t>
  </si>
  <si>
    <t>alexnet / celebA_cnn_v1 MAIN</t>
  </si>
  <si>
    <t>Actual / Predicted</t>
  </si>
  <si>
    <t>Female</t>
  </si>
  <si>
    <t>Male</t>
  </si>
  <si>
    <t>Normalized per actual</t>
  </si>
  <si>
    <t>Notebook URL</t>
  </si>
  <si>
    <t>vgg16 / celebA_cnn_v1 MAIN</t>
  </si>
  <si>
    <t>Runtime</t>
  </si>
  <si>
    <t>GPU</t>
  </si>
  <si>
    <t>Dataset mode</t>
  </si>
  <si>
    <t>Start time</t>
  </si>
  <si>
    <t>End time</t>
  </si>
  <si>
    <t>Training status</t>
  </si>
  <si>
    <t>Evaluation status</t>
  </si>
  <si>
    <t>Best checkpoint</t>
  </si>
  <si>
    <t>Error message</t>
  </si>
  <si>
    <t>Notes</t>
  </si>
  <si>
    <t>3.13.15</t>
  </si>
  <si>
    <t>Tesla T4</t>
  </si>
  <si>
    <t>MAIN</t>
  </si>
  <si>
    <t>2026-10-12T13:34:33Z</t>
  </si>
  <si>
    <t>2026-10-12T15:05:22Z</t>
  </si>
  <si>
    <t>TRAINED</t>
  </si>
  <si>
    <t>Full fine-tuning; official splits</t>
  </si>
  <si>
    <t>PREPARED</t>
  </si>
  <si>
    <t>vgg19 / celebA_cnn_v1 MAIN</t>
  </si>
  <si>
    <t>Training menunggu eksekusi pengguna</t>
  </si>
  <si>
    <t>googlenet / celebA_cnn_v1 MAIN</t>
  </si>
  <si>
    <t>Visualization</t>
  </si>
  <si>
    <t>Source / Reference</t>
  </si>
  <si>
    <t>Accuracy Comparison</t>
  </si>
  <si>
    <t>ACTUAL DATA</t>
  </si>
  <si>
    <t>Sumber aktual di sheet ini</t>
  </si>
  <si>
    <t>Macro F1 Comparison</t>
  </si>
  <si>
    <t>Training Time Comparison</t>
  </si>
  <si>
    <t>Parameter Count Comparison</t>
  </si>
  <si>
    <t>Training Loss Comparison</t>
  </si>
  <si>
    <t>Validation Loss Comparison</t>
  </si>
  <si>
    <t>Confusion Matrix alexnet</t>
  </si>
  <si>
    <t>CONFUSION_MATRIX / link PNG privat</t>
  </si>
  <si>
    <t>Confusion Matrix vgg16</t>
  </si>
  <si>
    <t>Confusion Matrix vgg19</t>
  </si>
  <si>
    <t>Confusion Matrix googlenet</t>
  </si>
  <si>
    <t>Confusion Matrix resnet18</t>
  </si>
  <si>
    <t>Parameters</t>
  </si>
  <si>
    <t>resnet18 / celebA_cnn_v1 MAIN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</si>
</sst>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0.0%"/>
  </numFmts>
  <fonts count="9">
    <font>
      <sz val="11.0"/>
      <color rgb="FF000000"/>
      <name val="Carlito"/>
      <scheme val="minor"/>
    </font>
    <font>
      <b/>
      <sz val="10.0"/>
      <color rgb="FF202124"/>
      <name val="Arial"/>
    </font>
    <font>
      <b/>
      <color rgb="FFFFFFFF"/>
      <name val="Carlito"/>
      <scheme val="minor"/>
    </font>
    <font>
      <sz val="10.0"/>
      <color rgb="FF111827"/>
      <name val="Arial"/>
    </font>
    <font>
      <color theme="1"/>
      <name val="Carlito"/>
      <scheme val="minor"/>
    </font>
    <font>
      <u/>
      <sz val="10.0"/>
      <color rgb="FF111827"/>
      <name val="Arial"/>
    </font>
    <font>
      <u/>
      <sz val="10.0"/>
      <color rgb="FF111827"/>
      <name val="Arial"/>
    </font>
    <font>
      <u/>
      <sz val="10.0"/>
      <color rgb="FF111827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1F3F4"/>
        <bgColor rgb="FFF1F3F4"/>
      </patternFill>
    </fill>
    <fill>
      <patternFill patternType="solid">
        <fgColor rgb="FFE8F0FE"/>
        <bgColor rgb="FFE8F0FE"/>
      </patternFill>
    </fill>
  </fills>
  <borders count="3">
    <border/>
    <border>
      <left/>
      <right/>
      <top/>
      <bottom style="thin">
        <color rgb="FFDADCE0"/>
      </bottom>
    </border>
    <border>
      <left style="thin">
        <color rgb="FFDADCE0"/>
      </left>
      <right style="thin">
        <color rgb="FFDADCE0"/>
      </right>
      <top style="thin">
        <color rgb="FFDADCE0"/>
      </top>
      <bottom style="thin">
        <color rgb="FFDADCE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readingOrder="0" vertical="center"/>
    </xf>
    <xf borderId="0" fillId="0" fontId="3" numFmtId="10" xfId="0" applyAlignment="1" applyFont="1" applyNumberFormat="1">
      <alignment readingOrder="0" vertical="center"/>
    </xf>
    <xf borderId="0" fillId="0" fontId="3" numFmtId="164" xfId="0" applyAlignment="1" applyFont="1" applyNumberFormat="1">
      <alignment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readingOrder="0" shrinkToFit="0" vertical="center" wrapText="0"/>
    </xf>
    <xf borderId="0" fillId="0" fontId="3" numFmtId="3" xfId="0" applyAlignment="1" applyFont="1" applyNumberFormat="1">
      <alignment readingOrder="0" shrinkToFit="0" vertical="center" wrapText="0"/>
    </xf>
    <xf borderId="0" fillId="0" fontId="3" numFmtId="2" xfId="0" applyAlignment="1" applyFont="1" applyNumberFormat="1">
      <alignment readingOrder="0"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10" xfId="0" applyAlignment="1" applyFont="1" applyNumberForma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3" numFmtId="10" xfId="0" applyAlignment="1" applyFont="1" applyNumberFormat="1">
      <alignment shrinkToFit="0" vertical="center" wrapText="0"/>
    </xf>
    <xf borderId="0" fillId="0" fontId="8" numFmtId="0" xfId="0" applyFont="1"/>
    <xf borderId="2" fillId="3" fontId="8" numFmtId="3" xfId="0" applyBorder="1" applyFill="1" applyFont="1" applyNumberFormat="1"/>
    <xf borderId="0" fillId="0" fontId="8" numFmtId="165" xfId="0" applyFont="1" applyNumberForma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B31412"/>
      </font>
      <fill>
        <patternFill patternType="solid">
          <fgColor rgb="FFFCE8E6"/>
          <bgColor rgb="FFFCE8E6"/>
        </patternFill>
      </fill>
      <border/>
    </dxf>
    <dxf>
      <font>
        <color rgb="FF5F6368"/>
      </font>
      <fill>
        <patternFill patternType="solid">
          <fgColor rgb="FFFEF7E0"/>
          <bgColor rgb="FFFEF7E0"/>
        </patternFill>
      </fill>
      <border/>
    </dxf>
    <dxf>
      <font>
        <b/>
      </font>
      <fill>
        <patternFill patternType="solid">
          <fgColor rgb="FFE6F4EA"/>
          <bgColor rgb="FFE6F4EA"/>
        </patternFill>
      </fill>
      <border/>
    </dxf>
  </dxfs>
  <tableStyles count="6">
    <tableStyle count="4" pivot="0" name="EXPERIMENT_SETU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DEL_ARCHITECTUR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SET_AUD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USION_MATRIX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AL_COMPARIS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XECUTION_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Accuracy Comparison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VISUALIZATIONS!$B$14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VISUALIZATIONS!$A$15</c:f>
            </c:strRef>
          </c:cat>
          <c:val>
            <c:numRef>
              <c:f>VISUALIZATIONS!$B$15</c:f>
              <c:numCache/>
            </c:numRef>
          </c:val>
        </c:ser>
        <c:axId val="669175485"/>
        <c:axId val="250150455"/>
      </c:barChart>
      <c:catAx>
        <c:axId val="6691754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0150455"/>
      </c:catAx>
      <c:valAx>
        <c:axId val="2501504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917548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Macro F1 Comparison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VISUALIZATIONS!$C$14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VISUALIZATIONS!$A$15</c:f>
            </c:strRef>
          </c:cat>
          <c:val>
            <c:numRef>
              <c:f>VISUALIZATIONS!$C$15</c:f>
              <c:numCache/>
            </c:numRef>
          </c:val>
        </c:ser>
        <c:axId val="424100928"/>
        <c:axId val="372897227"/>
      </c:barChart>
      <c:catAx>
        <c:axId val="424100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2897227"/>
      </c:catAx>
      <c:valAx>
        <c:axId val="3728972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410092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Training Time Comparison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VISUALIZATIONS!$D$14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VISUALIZATIONS!$A$15</c:f>
            </c:strRef>
          </c:cat>
          <c:val>
            <c:numRef>
              <c:f>VISUALIZATIONS!$D$15</c:f>
              <c:numCache/>
            </c:numRef>
          </c:val>
        </c:ser>
        <c:axId val="612423101"/>
        <c:axId val="454417133"/>
      </c:barChart>
      <c:catAx>
        <c:axId val="6124231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4417133"/>
      </c:catAx>
      <c:valAx>
        <c:axId val="4544171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2423101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Parameter Count Comparison</a:t>
            </a:r>
          </a:p>
        </c:rich>
      </c:tx>
      <c:overlay val="0"/>
    </c:title>
    <c:plotArea>
      <c:layout/>
      <c:barChart>
        <c:barDir val="col"/>
        <c:varyColors val="0"/>
        <c:ser>
          <c:idx val="0"/>
          <c:order val="0"/>
          <c:tx>
            <c:strRef>
              <c:f>MODEL_ARCHITECTURE!$D$1</c:f>
            </c:strRef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MODEL_ARCHITECTURE!$A$2:$A$6</c:f>
            </c:strRef>
          </c:cat>
          <c:val>
            <c:numRef>
              <c:f>MODEL_ARCHITECTURE!$D$2:$D$6</c:f>
              <c:numCache/>
            </c:numRef>
          </c:val>
        </c:ser>
        <c:axId val="1507376129"/>
        <c:axId val="1279792216"/>
      </c:barChart>
      <c:catAx>
        <c:axId val="15073761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9792216"/>
      </c:catAx>
      <c:valAx>
        <c:axId val="12797922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7376129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Training Loss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VISUALIZATIONS!$B$24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VISUALIZATIONS!$A$25:$A$32</c:f>
            </c:strRef>
          </c:cat>
          <c:val>
            <c:numRef>
              <c:f>VISUALIZATIONS!$B$25:$B$32</c:f>
              <c:numCache/>
            </c:numRef>
          </c:val>
          <c:smooth val="0"/>
        </c:ser>
        <c:axId val="580127615"/>
        <c:axId val="1028797687"/>
      </c:lineChart>
      <c:catAx>
        <c:axId val="5801276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8797687"/>
      </c:catAx>
      <c:valAx>
        <c:axId val="102879768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0127615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Validation Loss Comparison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VISUALIZATIONS!$B$36</c:f>
            </c:strRef>
          </c:tx>
          <c:spPr>
            <a:ln cmpd="sng">
              <a:solidFill>
                <a:srgbClr val="156082"/>
              </a:solidFill>
            </a:ln>
          </c:spPr>
          <c:marker>
            <c:symbol val="none"/>
          </c:marker>
          <c:cat>
            <c:strRef>
              <c:f>VISUALIZATIONS!$A$37:$A$44</c:f>
            </c:strRef>
          </c:cat>
          <c:val>
            <c:numRef>
              <c:f>VISUALIZATIONS!$B$37:$B$44</c:f>
              <c:numCache/>
            </c:numRef>
          </c:val>
          <c:smooth val="0"/>
        </c:ser>
        <c:axId val="396473978"/>
        <c:axId val="737159790"/>
      </c:lineChart>
      <c:catAx>
        <c:axId val="3964739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159790"/>
      </c:catAx>
      <c:valAx>
        <c:axId val="73715979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647397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2</xdr:row>
      <xdr:rowOff>0</xdr:rowOff>
    </xdr:from>
    <xdr:ext cx="5143500" cy="3048000"/>
    <xdr:graphicFrame>
      <xdr:nvGraphicFramePr>
        <xdr:cNvPr id="1" name="Chart 1" title="Accuracy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0</xdr:colOff>
      <xdr:row>2</xdr:row>
      <xdr:rowOff>0</xdr:rowOff>
    </xdr:from>
    <xdr:ext cx="5143500" cy="3048000"/>
    <xdr:graphicFrame>
      <xdr:nvGraphicFramePr>
        <xdr:cNvPr id="2" name="Chart 2" title="Macro F1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0</xdr:colOff>
      <xdr:row>20</xdr:row>
      <xdr:rowOff>0</xdr:rowOff>
    </xdr:from>
    <xdr:ext cx="5143500" cy="3048000"/>
    <xdr:graphicFrame>
      <xdr:nvGraphicFramePr>
        <xdr:cNvPr id="3" name="Chart 3" title="Training 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0</xdr:colOff>
      <xdr:row>20</xdr:row>
      <xdr:rowOff>0</xdr:rowOff>
    </xdr:from>
    <xdr:ext cx="5143500" cy="3048000"/>
    <xdr:graphicFrame>
      <xdr:nvGraphicFramePr>
        <xdr:cNvPr id="4" name="Chart 4" title="Parameter Count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7</xdr:col>
      <xdr:colOff>0</xdr:colOff>
      <xdr:row>38</xdr:row>
      <xdr:rowOff>0</xdr:rowOff>
    </xdr:from>
    <xdr:ext cx="5143500" cy="3048000"/>
    <xdr:graphicFrame>
      <xdr:nvGraphicFramePr>
        <xdr:cNvPr id="5" name="Chart 5" title="Training Loss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15</xdr:col>
      <xdr:colOff>0</xdr:colOff>
      <xdr:row>38</xdr:row>
      <xdr:rowOff>0</xdr:rowOff>
    </xdr:from>
    <xdr:ext cx="5143500" cy="3048000"/>
    <xdr:graphicFrame>
      <xdr:nvGraphicFramePr>
        <xdr:cNvPr id="6" name="Chart 6" title="Validation Loss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6" displayName="EXPERIMENT_SETUP_Records" name="EXPERIMENT_SETUP_Records" id="1">
  <tableColumns count="24">
    <tableColumn name="Experiment ID" id="1"/>
    <tableColumn name="Model" id="2"/>
    <tableColumn name="Dataset" id="3"/>
    <tableColumn name="Dataset scope" id="4"/>
    <tableColumn name="Image size" id="5"/>
    <tableColumn name="Pretrained policy" id="6"/>
    <tableColumn name="Epoch" id="7"/>
    <tableColumn name="Optimizer" id="8"/>
    <tableColumn name="Learning rate" id="9"/>
    <tableColumn name="Weight decay" id="10"/>
    <tableColumn name="Loss function" id="11"/>
    <tableColumn name="Batch size" id="12"/>
    <tableColumn name="Gradient accumulation" id="13"/>
    <tableColumn name="Effective batch size" id="14"/>
    <tableColumn name="Scheduler" id="15"/>
    <tableColumn name="Seed" id="16"/>
    <tableColumn name="Normalization" id="17"/>
    <tableColumn name="Augmentation" id="18"/>
    <tableColumn name="Checkpoint selection" id="19"/>
    <tableColumn name="Framework version" id="20"/>
    <tableColumn name="Runtime/GPU" id="21"/>
    <tableColumn name="CONFIGURATION MATCH" id="22"/>
    <tableColumn name="Contract hash" id="23"/>
    <tableColumn name="Record Key" id="24"/>
  </tableColumns>
  <tableStyleInfo name="EXPERIMENT_SETUP-style" showColumnStripes="0" showFirstColumn="1" showLastColumn="1" showRowStripes="1"/>
</table>
</file>

<file path=xl/tables/table2.xml><?xml version="1.0" encoding="utf-8"?>
<table xmlns="http://schemas.openxmlformats.org/spreadsheetml/2006/main" ref="A1:T2" displayName="DATASET_AUDIT_Records" name="DATASET_AUDIT_Records" id="3">
  <tableColumns count="20">
    <tableColumn name="Dataset name" id="1"/>
    <tableColumn name="Dataset URL" id="2"/>
    <tableColumn name="Dataset version" id="3"/>
    <tableColumn name="Dataset scope" id="4"/>
    <tableColumn name="Total images" id="5"/>
    <tableColumn name="Train count" id="6"/>
    <tableColumn name="Validation count" id="7"/>
    <tableColumn name="Test count" id="8"/>
    <tableColumn name="Female train" id="9"/>
    <tableColumn name="Male train" id="10"/>
    <tableColumn name="Female validation" id="11"/>
    <tableColumn name="Male validation" id="12"/>
    <tableColumn name="Female test" id="13"/>
    <tableColumn name="Male test" id="14"/>
    <tableColumn name="Split strategy" id="15"/>
    <tableColumn name="Manifest reference" id="16"/>
    <tableColumn name="Identity metadata" id="17"/>
    <tableColumn name="Identity overlap count" id="18"/>
    <tableColumn name="Status" id="19"/>
    <tableColumn name="Record Key" id="20"/>
  </tableColumns>
  <tableStyleInfo name="DATASET_AUDIT-style" showColumnStripes="0" showFirstColumn="1" showLastColumn="1" showRowStripes="1"/>
</table>
</file>

<file path=xl/tables/table3.xml><?xml version="1.0" encoding="utf-8"?>
<table xmlns="http://schemas.openxmlformats.org/spreadsheetml/2006/main" ref="A1:K6" displayName="MODEL_ARCHITECTURE_Records" name="MODEL_ARCHITECTURE_Records" id="2">
  <tableColumns count="11">
    <tableColumn name="Model" id="1"/>
    <tableColumn name="Architecture family" id="2"/>
    <tableColumn name="Weighted layers" id="3"/>
    <tableColumn name="Total parameters" id="4"/>
    <tableColumn name="Trainable parameters" id="5"/>
    <tableColumn name="Model size MB" id="6"/>
    <tableColumn name="Pretrained weights" id="7"/>
    <tableColumn name="Notebook link" id="8"/>
    <tableColumn name="Checkpoint link" id="9"/>
    <tableColumn name="Layer definition" id="10"/>
    <tableColumn name="Record Key" id="11"/>
  </tableColumns>
  <tableStyleInfo name="MODEL_ARCHITECTURE-style" showColumnStripes="0" showFirstColumn="1" showLastColumn="1" showRowStripes="1"/>
</table>
</file>

<file path=xl/tables/table4.xml><?xml version="1.0" encoding="utf-8"?>
<table xmlns="http://schemas.openxmlformats.org/spreadsheetml/2006/main" ref="A1:X6" displayName="CONFUSION_MATRIX_Records" name="CONFUSION_MATRIX_Records" id="4">
  <tableColumns count="24">
    <tableColumn name="Experiment ID" id="1"/>
    <tableColumn name="Model" id="2"/>
    <tableColumn name="Test sample count" id="3"/>
    <tableColumn name="TN" id="4"/>
    <tableColumn name="FP" id="5"/>
    <tableColumn name="FN" id="6"/>
    <tableColumn name="TP" id="7"/>
    <tableColumn name="Female correct" id="8"/>
    <tableColumn name="Male correct" id="9"/>
    <tableColumn name="Female misclassified" id="10"/>
    <tableColumn name="Male misclassified" id="11"/>
    <tableColumn name="Accuracy" id="12"/>
    <tableColumn name="Precision Male" id="13"/>
    <tableColumn name="Recall Male" id="14"/>
    <tableColumn name="Specificity Male" id="15"/>
    <tableColumn name="F1 Male" id="16"/>
    <tableColumn name="Precision Female" id="17"/>
    <tableColumn name="Recall Female" id="18"/>
    <tableColumn name="F1 Female" id="19"/>
    <tableColumn name="Macro F1" id="20"/>
    <tableColumn name="Raw Matrix Image Link" id="21"/>
    <tableColumn name="Normalized Matrix Image Link" id="22"/>
    <tableColumn name="Status" id="23"/>
    <tableColumn name="Record Key" id="24"/>
  </tableColumns>
  <tableStyleInfo name="CONFUSION_MATRIX-style" showColumnStripes="0" showFirstColumn="1" showLastColumn="1" showRowStripes="1"/>
</table>
</file>

<file path=xl/tables/table5.xml><?xml version="1.0" encoding="utf-8"?>
<table xmlns="http://schemas.openxmlformats.org/spreadsheetml/2006/main" ref="A1:S6" displayName="FINAL_COMPARISON_Records" name="FINAL_COMPARISON_Records" id="5">
  <tableColumns count="19">
    <tableColumn name="Model" id="1"/>
    <tableColumn name="Dataset scope" id="2"/>
    <tableColumn name="Accuracy" id="3"/>
    <tableColumn name="Precision macro" id="4"/>
    <tableColumn name="Recall macro" id="5"/>
    <tableColumn name="F1 macro" id="6"/>
    <tableColumn name="Weighted F1" id="7"/>
    <tableColumn name="Test loss" id="8"/>
    <tableColumn name="Best epoch" id="9"/>
    <tableColumn name="Training time (s)" id="10"/>
    <tableColumn name="Inference time (ms)" id="11"/>
    <tableColumn name="Total parameters" id="12"/>
    <tableColumn name="Peak GPU memory (MB)" id="13"/>
    <tableColumn name="Confusion Matrix link" id="14"/>
    <tableColumn name="Checkpoint link" id="15"/>
    <tableColumn name="Status" id="16"/>
    <tableColumn name="Configuration match" id="17"/>
    <tableColumn name="Experiment ID" id="18"/>
    <tableColumn name="Record Key" id="19"/>
  </tableColumns>
  <tableStyleInfo name="FINAL_COMPARISON-style" showColumnStripes="0" showFirstColumn="1" showLastColumn="1" showRowStripes="1"/>
</table>
</file>

<file path=xl/tables/table6.xml><?xml version="1.0" encoding="utf-8"?>
<table xmlns="http://schemas.openxmlformats.org/spreadsheetml/2006/main" ref="A1:N6" displayName="EXECUTION_LOG_Records" name="EXECUTION_LOG_Records" id="6">
  <tableColumns count="14">
    <tableColumn name="Experiment ID" id="1"/>
    <tableColumn name="Model" id="2"/>
    <tableColumn name="Notebook URL" id="3"/>
    <tableColumn name="Runtime" id="4"/>
    <tableColumn name="GPU" id="5"/>
    <tableColumn name="Dataset mode" id="6"/>
    <tableColumn name="Start time" id="7"/>
    <tableColumn name="End time" id="8"/>
    <tableColumn name="Training status" id="9"/>
    <tableColumn name="Evaluation status" id="10"/>
    <tableColumn name="Best checkpoint" id="11"/>
    <tableColumn name="Error message" id="12"/>
    <tableColumn name="Notes" id="13"/>
    <tableColumn name="Record Key" id="14"/>
  </tableColumns>
  <tableStyleInfo name="EXECUTION_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aggle.com/datasets/ashishjangra27/gender-recognition-200k-images-celeba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vw9PPusMgFmGR3hkG44TvOpR1gUsomY/view?usp=drivesdk" TargetMode="External"/><Relationship Id="rId2" Type="http://schemas.openxmlformats.org/officeDocument/2006/relationships/hyperlink" Target="https://drive.google.com/file/d/1RcudvpeCvKFOg43TFjk9WHjFYKc7NvKB/view?usp=drivesdk" TargetMode="External"/><Relationship Id="rId3" Type="http://schemas.openxmlformats.org/officeDocument/2006/relationships/hyperlink" Target="https://drive.google.com/file/d/1zAkqx5qY35lbVNqS2ECXl0Rww4okqsAH/view?usp=drivesdk" TargetMode="External"/><Relationship Id="rId4" Type="http://schemas.openxmlformats.org/officeDocument/2006/relationships/hyperlink" Target="https://drive.google.com/file/d/1mbxUdi7jKOlkXBxoYXWQcTGn_4I3Uw6A/view?usp=drivesdk" TargetMode="External"/><Relationship Id="rId9" Type="http://schemas.openxmlformats.org/officeDocument/2006/relationships/table" Target="../tables/table3.xml"/><Relationship Id="rId5" Type="http://schemas.openxmlformats.org/officeDocument/2006/relationships/hyperlink" Target="https://drive.google.com/file/d/1Z39-kWHkqxd_xrO8piLx3IS4VyXkJxa6/view?usp=drivesdk" TargetMode="External"/><Relationship Id="rId6" Type="http://schemas.openxmlformats.org/officeDocument/2006/relationships/hyperlink" Target="https://drive.google.com/file/d/19b3ajIiyNxjuRDiSZkVGEdCzlVhz1_M8/view?usp=drivesdk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xQ78qeeNFmzn7mIw6Qfbgp_Xfsdl5Lj/view?usp=drivesdk" TargetMode="External"/><Relationship Id="rId2" Type="http://schemas.openxmlformats.org/officeDocument/2006/relationships/hyperlink" Target="https://drive.google.com/file/d/1XYoLp9Q8x_wgN4HT8CcDfO4X9m1Dv-Jq/view?usp=drivesdk" TargetMode="External"/><Relationship Id="rId3" Type="http://schemas.openxmlformats.org/officeDocument/2006/relationships/drawing" Target="../drawings/drawing5.xml"/><Relationship Id="rId5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0xQ78qeeNFmzn7mIw6Qfbgp_Xfsdl5Lj/view?usp=drivesdk" TargetMode="External"/><Relationship Id="rId2" Type="http://schemas.openxmlformats.org/officeDocument/2006/relationships/hyperlink" Target="https://drive.google.com/file/d/1RcudvpeCvKFOg43TFjk9WHjFYKc7NvKB/view?usp=drivesdk" TargetMode="External"/><Relationship Id="rId3" Type="http://schemas.openxmlformats.org/officeDocument/2006/relationships/drawing" Target="../drawings/drawing6.xml"/><Relationship Id="rId5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bvw9PPusMgFmGR3hkG44TvOpR1gUsomY/view?usp=drivesdk" TargetMode="External"/><Relationship Id="rId2" Type="http://schemas.openxmlformats.org/officeDocument/2006/relationships/hyperlink" Target="https://drive.google.com/file/d/1RcudvpeCvKFOg43TFjk9WHjFYKc7NvKB/view?usp=drivesdk" TargetMode="External"/><Relationship Id="rId3" Type="http://schemas.openxmlformats.org/officeDocument/2006/relationships/hyperlink" Target="https://drive.google.com/file/d/1zAkqx5qY35lbVNqS2ECXl0Rww4okqsAH/view?usp=drivesdk" TargetMode="External"/><Relationship Id="rId4" Type="http://schemas.openxmlformats.org/officeDocument/2006/relationships/hyperlink" Target="https://drive.google.com/file/d/1mbxUdi7jKOlkXBxoYXWQcTGn_4I3Uw6A/view?usp=drivesdk" TargetMode="External"/><Relationship Id="rId9" Type="http://schemas.openxmlformats.org/officeDocument/2006/relationships/table" Target="../tables/table6.xml"/><Relationship Id="rId5" Type="http://schemas.openxmlformats.org/officeDocument/2006/relationships/hyperlink" Target="https://drive.google.com/file/d/1Z39-kWHkqxd_xrO8piLx3IS4VyXkJxa6/view?usp=drivesdk" TargetMode="External"/><Relationship Id="rId6" Type="http://schemas.openxmlformats.org/officeDocument/2006/relationships/hyperlink" Target="https://drive.google.com/file/d/19b3ajIiyNxjuRDiSZkVGEdCzlVhz1_M8/view?usp=drivesdk" TargetMode="External"/><Relationship Id="rId7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" width="20.0"/>
    <col customWidth="1" min="3" max="3" width="37.63"/>
    <col customWidth="1" min="4" max="16" width="20.0"/>
    <col customWidth="1" min="17" max="18" width="30.0"/>
    <col customWidth="1" min="19" max="21" width="20.0"/>
    <col customWidth="1" min="22" max="22" width="21.75"/>
    <col customWidth="1" min="23" max="24" width="30.0"/>
    <col customWidth="1" min="25" max="26" width="8.63"/>
  </cols>
  <sheetData>
    <row r="1" ht="57.75" customHeight="1">
      <c r="A1" s="2" t="s">
        <v>0</v>
      </c>
      <c r="B1" s="2" t="s">
        <v>1</v>
      </c>
      <c r="C1" s="2" t="s">
        <v>19</v>
      </c>
      <c r="D1" s="2" t="s">
        <v>21</v>
      </c>
      <c r="E1" s="2" t="s">
        <v>26</v>
      </c>
      <c r="F1" s="2" t="s">
        <v>30</v>
      </c>
      <c r="G1" s="2" t="s">
        <v>2</v>
      </c>
      <c r="H1" s="2" t="s">
        <v>36</v>
      </c>
      <c r="I1" s="2" t="s">
        <v>9</v>
      </c>
      <c r="J1" s="2" t="s">
        <v>43</v>
      </c>
      <c r="K1" s="2" t="s">
        <v>45</v>
      </c>
      <c r="L1" s="2" t="s">
        <v>48</v>
      </c>
      <c r="M1" s="2" t="s">
        <v>54</v>
      </c>
      <c r="N1" s="2" t="s">
        <v>56</v>
      </c>
      <c r="O1" s="2" t="s">
        <v>59</v>
      </c>
      <c r="P1" s="2" t="s">
        <v>61</v>
      </c>
      <c r="Q1" s="2" t="s">
        <v>63</v>
      </c>
      <c r="R1" s="2" t="s">
        <v>65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12</v>
      </c>
    </row>
    <row r="2" ht="48.0" customHeight="1">
      <c r="A2" s="10" t="s">
        <v>13</v>
      </c>
      <c r="B2" s="10" t="s">
        <v>15</v>
      </c>
      <c r="C2" s="13" t="s">
        <v>73</v>
      </c>
      <c r="D2" s="10" t="s">
        <v>76</v>
      </c>
      <c r="E2" s="10" t="s">
        <v>77</v>
      </c>
      <c r="F2" s="10" t="s">
        <v>78</v>
      </c>
      <c r="G2" s="16">
        <v>8.0</v>
      </c>
      <c r="H2" s="10" t="s">
        <v>79</v>
      </c>
      <c r="I2" s="17">
        <v>1.0E-4</v>
      </c>
      <c r="J2" s="17">
        <v>1.0E-4</v>
      </c>
      <c r="K2" s="10" t="s">
        <v>82</v>
      </c>
      <c r="L2" s="16">
        <v>8.0</v>
      </c>
      <c r="M2" s="16">
        <v>4.0</v>
      </c>
      <c r="N2" s="16">
        <v>32.0</v>
      </c>
      <c r="O2" s="10" t="s">
        <v>88</v>
      </c>
      <c r="P2" s="16">
        <v>42.0</v>
      </c>
      <c r="Q2" s="13" t="s">
        <v>90</v>
      </c>
      <c r="R2" s="13" t="s">
        <v>93</v>
      </c>
      <c r="S2" s="10" t="s">
        <v>95</v>
      </c>
      <c r="T2" s="15" t="s">
        <v>97</v>
      </c>
      <c r="U2" s="10" t="s">
        <v>98</v>
      </c>
      <c r="V2" s="20" t="s">
        <v>99</v>
      </c>
      <c r="W2" s="13" t="s">
        <v>100</v>
      </c>
      <c r="X2" s="13" t="s">
        <v>81</v>
      </c>
    </row>
    <row r="3" ht="48.0" customHeight="1">
      <c r="A3" s="18" t="s">
        <v>13</v>
      </c>
      <c r="B3" s="18" t="s">
        <v>83</v>
      </c>
      <c r="C3" s="22" t="s">
        <v>73</v>
      </c>
      <c r="D3" s="18" t="s">
        <v>76</v>
      </c>
      <c r="E3" s="18" t="s">
        <v>77</v>
      </c>
      <c r="F3" s="18" t="s">
        <v>78</v>
      </c>
      <c r="G3" s="18">
        <v>8.0</v>
      </c>
      <c r="H3" s="18" t="s">
        <v>79</v>
      </c>
      <c r="I3" s="25">
        <v>1.0E-4</v>
      </c>
      <c r="J3" s="25">
        <v>1.0E-4</v>
      </c>
      <c r="K3" s="18" t="s">
        <v>82</v>
      </c>
      <c r="L3" s="18">
        <v>8.0</v>
      </c>
      <c r="M3" s="18">
        <v>4.0</v>
      </c>
      <c r="N3" s="18">
        <v>32.0</v>
      </c>
      <c r="O3" s="18" t="s">
        <v>88</v>
      </c>
      <c r="P3" s="18">
        <v>42.0</v>
      </c>
      <c r="Q3" s="22" t="s">
        <v>90</v>
      </c>
      <c r="R3" s="22" t="s">
        <v>93</v>
      </c>
      <c r="S3" s="18" t="s">
        <v>95</v>
      </c>
      <c r="T3" s="18" t="s">
        <v>97</v>
      </c>
      <c r="U3" s="18"/>
      <c r="V3" s="26" t="s">
        <v>109</v>
      </c>
      <c r="W3" s="22"/>
      <c r="X3" s="22" t="s">
        <v>102</v>
      </c>
    </row>
    <row r="4" ht="48.0" customHeight="1">
      <c r="A4" s="18" t="s">
        <v>13</v>
      </c>
      <c r="B4" s="18" t="s">
        <v>103</v>
      </c>
      <c r="C4" s="22" t="s">
        <v>73</v>
      </c>
      <c r="D4" s="18" t="s">
        <v>76</v>
      </c>
      <c r="E4" s="18" t="s">
        <v>77</v>
      </c>
      <c r="F4" s="18" t="s">
        <v>78</v>
      </c>
      <c r="G4" s="18">
        <v>8.0</v>
      </c>
      <c r="H4" s="18" t="s">
        <v>79</v>
      </c>
      <c r="I4" s="25">
        <v>1.0E-4</v>
      </c>
      <c r="J4" s="25">
        <v>1.0E-4</v>
      </c>
      <c r="K4" s="18" t="s">
        <v>82</v>
      </c>
      <c r="L4" s="18">
        <v>8.0</v>
      </c>
      <c r="M4" s="18">
        <v>4.0</v>
      </c>
      <c r="N4" s="18">
        <v>32.0</v>
      </c>
      <c r="O4" s="18" t="s">
        <v>88</v>
      </c>
      <c r="P4" s="18">
        <v>42.0</v>
      </c>
      <c r="Q4" s="22" t="s">
        <v>90</v>
      </c>
      <c r="R4" s="22" t="s">
        <v>93</v>
      </c>
      <c r="S4" s="18" t="s">
        <v>95</v>
      </c>
      <c r="T4" s="18" t="s">
        <v>97</v>
      </c>
      <c r="U4" s="18"/>
      <c r="V4" s="26" t="s">
        <v>109</v>
      </c>
      <c r="W4" s="22"/>
      <c r="X4" s="22" t="s">
        <v>106</v>
      </c>
    </row>
    <row r="5" ht="48.0" customHeight="1">
      <c r="A5" s="18" t="s">
        <v>13</v>
      </c>
      <c r="B5" s="18" t="s">
        <v>107</v>
      </c>
      <c r="C5" s="22" t="s">
        <v>73</v>
      </c>
      <c r="D5" s="18" t="s">
        <v>76</v>
      </c>
      <c r="E5" s="18" t="s">
        <v>77</v>
      </c>
      <c r="F5" s="18" t="s">
        <v>78</v>
      </c>
      <c r="G5" s="18">
        <v>8.0</v>
      </c>
      <c r="H5" s="18" t="s">
        <v>79</v>
      </c>
      <c r="I5" s="25">
        <v>1.0E-4</v>
      </c>
      <c r="J5" s="25">
        <v>1.0E-4</v>
      </c>
      <c r="K5" s="18" t="s">
        <v>82</v>
      </c>
      <c r="L5" s="18">
        <v>8.0</v>
      </c>
      <c r="M5" s="18">
        <v>4.0</v>
      </c>
      <c r="N5" s="18">
        <v>32.0</v>
      </c>
      <c r="O5" s="18" t="s">
        <v>88</v>
      </c>
      <c r="P5" s="18">
        <v>42.0</v>
      </c>
      <c r="Q5" s="22" t="s">
        <v>90</v>
      </c>
      <c r="R5" s="22" t="s">
        <v>93</v>
      </c>
      <c r="S5" s="18" t="s">
        <v>95</v>
      </c>
      <c r="T5" s="18" t="s">
        <v>97</v>
      </c>
      <c r="U5" s="18"/>
      <c r="V5" s="26" t="s">
        <v>109</v>
      </c>
      <c r="W5" s="22"/>
      <c r="X5" s="22" t="s">
        <v>112</v>
      </c>
    </row>
    <row r="6" ht="48.0" customHeight="1">
      <c r="A6" s="18" t="s">
        <v>13</v>
      </c>
      <c r="B6" s="18" t="s">
        <v>113</v>
      </c>
      <c r="C6" s="22" t="s">
        <v>73</v>
      </c>
      <c r="D6" s="18" t="s">
        <v>76</v>
      </c>
      <c r="E6" s="18" t="s">
        <v>77</v>
      </c>
      <c r="F6" s="18" t="s">
        <v>78</v>
      </c>
      <c r="G6" s="18">
        <v>8.0</v>
      </c>
      <c r="H6" s="18" t="s">
        <v>79</v>
      </c>
      <c r="I6" s="25">
        <v>1.0E-4</v>
      </c>
      <c r="J6" s="25">
        <v>1.0E-4</v>
      </c>
      <c r="K6" s="18" t="s">
        <v>82</v>
      </c>
      <c r="L6" s="18">
        <v>8.0</v>
      </c>
      <c r="M6" s="18">
        <v>4.0</v>
      </c>
      <c r="N6" s="18">
        <v>32.0</v>
      </c>
      <c r="O6" s="18" t="s">
        <v>88</v>
      </c>
      <c r="P6" s="18">
        <v>42.0</v>
      </c>
      <c r="Q6" s="22" t="s">
        <v>90</v>
      </c>
      <c r="R6" s="22" t="s">
        <v>93</v>
      </c>
      <c r="S6" s="18" t="s">
        <v>95</v>
      </c>
      <c r="T6" s="18" t="s">
        <v>97</v>
      </c>
      <c r="U6" s="18"/>
      <c r="V6" s="26" t="s">
        <v>109</v>
      </c>
      <c r="W6" s="22"/>
      <c r="X6" s="2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V2:V6">
    <cfRule type="containsText" dxfId="5" priority="1" operator="containsText" text="MISMATCH">
      <formula>NOT(ISERROR(SEARCH(("MISMATCH"),(V2))))</formula>
    </cfRule>
  </conditionalFormatting>
  <conditionalFormatting sqref="V2:V6">
    <cfRule type="containsText" dxfId="6" priority="2" operator="containsText" text="NOT">
      <formula>NOT(ISERROR(SEARCH(("NOT"),(V2))))</formula>
    </cfRule>
  </conditionalFormatting>
  <dataValidations>
    <dataValidation type="list" allowBlank="1" sqref="V2:V6">
      <formula1>"MATCH,MISMATCH,NOT VERIFIED"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0.0"/>
    <col customWidth="1" min="2" max="2" width="30.0"/>
    <col customWidth="1" min="3" max="14" width="20.0"/>
    <col customWidth="1" min="15" max="15" width="37.5"/>
    <col customWidth="1" min="16" max="16" width="30.0"/>
    <col customWidth="1" min="17" max="19" width="20.0"/>
    <col customWidth="1" min="20" max="20" width="30.0"/>
    <col customWidth="1" min="21" max="26" width="8.63"/>
  </cols>
  <sheetData>
    <row r="1" ht="57.75" customHeight="1">
      <c r="A1" s="2" t="s">
        <v>5</v>
      </c>
      <c r="B1" s="2" t="s">
        <v>16</v>
      </c>
      <c r="C1" s="2" t="s">
        <v>18</v>
      </c>
      <c r="D1" s="2" t="s">
        <v>21</v>
      </c>
      <c r="E1" s="2" t="s">
        <v>25</v>
      </c>
      <c r="F1" s="2" t="s">
        <v>28</v>
      </c>
      <c r="G1" s="2" t="s">
        <v>32</v>
      </c>
      <c r="H1" s="2" t="s">
        <v>35</v>
      </c>
      <c r="I1" s="2" t="s">
        <v>38</v>
      </c>
      <c r="J1" s="2" t="s">
        <v>41</v>
      </c>
      <c r="K1" s="2" t="s">
        <v>44</v>
      </c>
      <c r="L1" s="2" t="s">
        <v>47</v>
      </c>
      <c r="M1" s="2" t="s">
        <v>49</v>
      </c>
      <c r="N1" s="2" t="s">
        <v>52</v>
      </c>
      <c r="O1" s="2" t="s">
        <v>55</v>
      </c>
      <c r="P1" s="2" t="s">
        <v>57</v>
      </c>
      <c r="Q1" s="2" t="s">
        <v>58</v>
      </c>
      <c r="R1" s="2" t="s">
        <v>60</v>
      </c>
      <c r="S1" s="2" t="s">
        <v>11</v>
      </c>
      <c r="T1" s="2" t="s">
        <v>12</v>
      </c>
    </row>
    <row r="2" ht="55.5" customHeight="1">
      <c r="A2" s="10" t="s">
        <v>64</v>
      </c>
      <c r="B2" s="14" t="s">
        <v>67</v>
      </c>
      <c r="C2" s="15" t="s">
        <v>74</v>
      </c>
      <c r="D2" s="10" t="s">
        <v>76</v>
      </c>
      <c r="E2" s="16">
        <v>202561.0</v>
      </c>
      <c r="F2" s="16">
        <v>160000.0</v>
      </c>
      <c r="G2" s="16">
        <v>22584.0</v>
      </c>
      <c r="H2" s="16">
        <v>19977.0</v>
      </c>
      <c r="I2" s="16">
        <v>92845.0</v>
      </c>
      <c r="J2" s="16">
        <v>67155.0</v>
      </c>
      <c r="K2" s="16">
        <v>13770.0</v>
      </c>
      <c r="L2" s="16">
        <v>8814.0</v>
      </c>
      <c r="M2" s="16">
        <v>11522.0</v>
      </c>
      <c r="N2" s="16">
        <v>8455.0</v>
      </c>
      <c r="O2" s="10" t="s">
        <v>84</v>
      </c>
      <c r="P2" s="13" t="s">
        <v>86</v>
      </c>
      <c r="Q2" s="10" t="s">
        <v>87</v>
      </c>
      <c r="R2" s="10" t="s">
        <v>89</v>
      </c>
      <c r="S2" s="20" t="s">
        <v>91</v>
      </c>
      <c r="T2" s="13" t="s">
        <v>96</v>
      </c>
    </row>
    <row r="3" ht="27.75" customHeight="1">
      <c r="A3" s="23"/>
      <c r="B3" s="24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4"/>
      <c r="Q3" s="23"/>
      <c r="R3" s="23"/>
      <c r="S3" s="23"/>
      <c r="T3" s="24"/>
    </row>
    <row r="4" ht="27.75" customHeight="1">
      <c r="A4" s="23"/>
      <c r="B4" s="24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4"/>
      <c r="Q4" s="23"/>
      <c r="R4" s="23"/>
      <c r="S4" s="23"/>
      <c r="T4" s="24"/>
    </row>
    <row r="5" ht="27.75" customHeight="1">
      <c r="A5" s="23"/>
      <c r="B5" s="24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4"/>
      <c r="Q5" s="23"/>
      <c r="R5" s="23"/>
      <c r="S5" s="23"/>
      <c r="T5" s="24"/>
    </row>
    <row r="6" ht="27.75" customHeight="1">
      <c r="A6" s="23"/>
      <c r="B6" s="24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  <c r="Q6" s="23"/>
      <c r="R6" s="23"/>
      <c r="S6" s="23"/>
      <c r="T6" s="2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S2:S6">
    <cfRule type="containsText" dxfId="5" priority="1" operator="containsText" text="MISMATCH">
      <formula>NOT(ISERROR(SEARCH(("MISMATCH"),(S2))))</formula>
    </cfRule>
  </conditionalFormatting>
  <conditionalFormatting sqref="S2:S6">
    <cfRule type="containsText" dxfId="6" priority="2" operator="containsText" text="NOT">
      <formula>NOT(ISERROR(SEARCH(("NOT"),(S2))))</formula>
    </cfRule>
  </conditionalFormatting>
  <dataValidations>
    <dataValidation type="list" allowBlank="1" sqref="S2">
      <formula1>"NOT AUDITED,AUDITED,BLOCKED"</formula1>
    </dataValidation>
  </dataValidations>
  <hyperlinks>
    <hyperlink r:id="rId1" ref="B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6" width="20.0"/>
    <col customWidth="1" min="7" max="7" width="41.38"/>
    <col customWidth="1" min="8" max="11" width="30.0"/>
    <col customWidth="1" min="12" max="26" width="8.63"/>
  </cols>
  <sheetData>
    <row r="1" ht="57.75" customHeight="1">
      <c r="A1" s="2" t="s">
        <v>1</v>
      </c>
      <c r="B1" s="2" t="s">
        <v>14</v>
      </c>
      <c r="C1" s="2" t="s">
        <v>17</v>
      </c>
      <c r="D1" s="2" t="s">
        <v>20</v>
      </c>
      <c r="E1" s="2" t="s">
        <v>24</v>
      </c>
      <c r="F1" s="2" t="s">
        <v>27</v>
      </c>
      <c r="G1" s="2" t="s">
        <v>31</v>
      </c>
      <c r="H1" s="2" t="s">
        <v>34</v>
      </c>
      <c r="I1" s="2" t="s">
        <v>39</v>
      </c>
      <c r="J1" s="2" t="s">
        <v>42</v>
      </c>
      <c r="K1" s="2" t="s">
        <v>12</v>
      </c>
    </row>
    <row r="2" ht="27.75" customHeight="1">
      <c r="A2" s="10" t="s">
        <v>15</v>
      </c>
      <c r="B2" s="10" t="s">
        <v>51</v>
      </c>
      <c r="C2" s="11">
        <v>8.0</v>
      </c>
      <c r="D2" s="11">
        <v>5.7012034E7</v>
      </c>
      <c r="E2" s="11">
        <v>5.7012034E7</v>
      </c>
      <c r="F2" s="12">
        <v>228.048136</v>
      </c>
      <c r="G2" s="13" t="s">
        <v>62</v>
      </c>
      <c r="H2" s="14" t="s">
        <v>66</v>
      </c>
      <c r="I2" s="14" t="s">
        <v>75</v>
      </c>
      <c r="J2" s="13" t="s">
        <v>80</v>
      </c>
      <c r="K2" s="13" t="s">
        <v>81</v>
      </c>
    </row>
    <row r="3" ht="27.75" customHeight="1">
      <c r="A3" s="18" t="s">
        <v>83</v>
      </c>
      <c r="B3" s="18" t="s">
        <v>85</v>
      </c>
      <c r="C3" s="11">
        <v>16.0</v>
      </c>
      <c r="D3" s="11">
        <v>1.34268738E8</v>
      </c>
      <c r="E3" s="11">
        <v>1.34268738E8</v>
      </c>
      <c r="F3" s="12">
        <v>537.074952</v>
      </c>
      <c r="G3" s="19" t="s">
        <v>92</v>
      </c>
      <c r="H3" s="21" t="s">
        <v>94</v>
      </c>
      <c r="I3" s="22"/>
      <c r="J3" s="22" t="s">
        <v>101</v>
      </c>
      <c r="K3" s="22" t="s">
        <v>102</v>
      </c>
    </row>
    <row r="4" ht="27.75" customHeight="1">
      <c r="A4" s="18" t="s">
        <v>103</v>
      </c>
      <c r="B4" s="18" t="s">
        <v>85</v>
      </c>
      <c r="C4" s="11">
        <v>19.0</v>
      </c>
      <c r="D4" s="11">
        <v>1.39578434E8</v>
      </c>
      <c r="E4" s="11">
        <v>1.39578434E8</v>
      </c>
      <c r="F4" s="12">
        <v>558.313736</v>
      </c>
      <c r="G4" s="19" t="s">
        <v>104</v>
      </c>
      <c r="H4" s="21" t="s">
        <v>105</v>
      </c>
      <c r="I4" s="22"/>
      <c r="J4" s="22" t="s">
        <v>101</v>
      </c>
      <c r="K4" s="22" t="s">
        <v>106</v>
      </c>
    </row>
    <row r="5" ht="27.75" customHeight="1">
      <c r="A5" s="18" t="s">
        <v>107</v>
      </c>
      <c r="B5" s="18" t="s">
        <v>108</v>
      </c>
      <c r="C5" s="11">
        <v>58.0</v>
      </c>
      <c r="D5" s="11">
        <v>5601954.0</v>
      </c>
      <c r="E5" s="11">
        <v>5601954.0</v>
      </c>
      <c r="F5" s="12">
        <v>22.407816</v>
      </c>
      <c r="G5" s="19" t="s">
        <v>110</v>
      </c>
      <c r="H5" s="21" t="s">
        <v>111</v>
      </c>
      <c r="I5" s="22"/>
      <c r="J5" s="22" t="s">
        <v>101</v>
      </c>
      <c r="K5" s="22" t="s">
        <v>112</v>
      </c>
    </row>
    <row r="6" ht="27.75" customHeight="1">
      <c r="A6" s="18" t="s">
        <v>113</v>
      </c>
      <c r="B6" s="18" t="s">
        <v>114</v>
      </c>
      <c r="C6" s="11">
        <v>21.0</v>
      </c>
      <c r="D6" s="11">
        <v>1.1177538E7</v>
      </c>
      <c r="E6" s="11">
        <v>1.1177538E7</v>
      </c>
      <c r="F6" s="12">
        <v>44.710152</v>
      </c>
      <c r="G6" s="19" t="s">
        <v>115</v>
      </c>
      <c r="H6" s="21" t="s">
        <v>116</v>
      </c>
      <c r="I6" s="22"/>
      <c r="J6" s="22" t="s">
        <v>101</v>
      </c>
      <c r="K6" s="2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I2"/>
    <hyperlink r:id="rId3" ref="H3"/>
    <hyperlink r:id="rId4" ref="H4"/>
    <hyperlink r:id="rId5" ref="H5"/>
    <hyperlink r:id="rId6" ref="H6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1" width="20.0"/>
    <col customWidth="1" min="12" max="12" width="30.0"/>
    <col customWidth="1" min="13" max="26" width="8.63"/>
  </cols>
  <sheetData>
    <row r="1" ht="5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27.75" customHeight="1">
      <c r="A2" s="3" t="s">
        <v>13</v>
      </c>
      <c r="B2" s="3" t="s">
        <v>15</v>
      </c>
      <c r="C2" s="4">
        <v>1.0</v>
      </c>
      <c r="D2" s="4">
        <v>0.0985646164916455</v>
      </c>
      <c r="E2" s="5">
        <v>0.96249375</v>
      </c>
      <c r="F2" s="4">
        <v>0.0683554212068196</v>
      </c>
      <c r="G2" s="5">
        <v>0.9745394969890188</v>
      </c>
      <c r="H2" s="5">
        <v>0.9733069096309472</v>
      </c>
      <c r="I2" s="6">
        <v>1.0E-4</v>
      </c>
      <c r="J2" s="4">
        <v>677.7237996990002</v>
      </c>
      <c r="K2" s="3" t="s">
        <v>22</v>
      </c>
      <c r="L2" s="7" t="s">
        <v>23</v>
      </c>
    </row>
    <row r="3" ht="27.75" customHeight="1">
      <c r="A3" s="3" t="s">
        <v>13</v>
      </c>
      <c r="B3" s="3" t="s">
        <v>15</v>
      </c>
      <c r="C3" s="4">
        <v>2.0</v>
      </c>
      <c r="D3" s="4">
        <v>0.0627034767694771</v>
      </c>
      <c r="E3" s="5">
        <v>0.977625</v>
      </c>
      <c r="F3" s="4">
        <v>0.0664028295999406</v>
      </c>
      <c r="G3" s="5">
        <v>0.9772405242649664</v>
      </c>
      <c r="H3" s="5">
        <v>0.9760002530603452</v>
      </c>
      <c r="I3" s="6">
        <v>1.0E-4</v>
      </c>
      <c r="J3" s="4">
        <v>657.4570301959993</v>
      </c>
      <c r="K3" s="3" t="s">
        <v>22</v>
      </c>
      <c r="L3" s="7" t="s">
        <v>29</v>
      </c>
    </row>
    <row r="4" ht="27.75" customHeight="1">
      <c r="A4" s="3" t="s">
        <v>13</v>
      </c>
      <c r="B4" s="3" t="s">
        <v>15</v>
      </c>
      <c r="C4" s="4">
        <v>3.0</v>
      </c>
      <c r="D4" s="4">
        <v>0.0525311738781631</v>
      </c>
      <c r="E4" s="5">
        <v>0.98150625</v>
      </c>
      <c r="F4" s="4">
        <v>0.0514517936526099</v>
      </c>
      <c r="G4" s="5">
        <v>0.9819783917817924</v>
      </c>
      <c r="H4" s="5">
        <v>0.9810491231257192</v>
      </c>
      <c r="I4" s="6">
        <v>1.0E-4</v>
      </c>
      <c r="J4" s="4">
        <v>670.9273013249995</v>
      </c>
      <c r="K4" s="3" t="s">
        <v>22</v>
      </c>
      <c r="L4" s="7" t="s">
        <v>33</v>
      </c>
    </row>
    <row r="5" ht="27.75" customHeight="1">
      <c r="A5" s="3" t="s">
        <v>13</v>
      </c>
      <c r="B5" s="3" t="s">
        <v>15</v>
      </c>
      <c r="C5" s="4">
        <v>4.0</v>
      </c>
      <c r="D5" s="4">
        <v>0.045715232887119</v>
      </c>
      <c r="E5" s="5">
        <v>0.98373125</v>
      </c>
      <c r="F5" s="4">
        <v>0.0687183348449525</v>
      </c>
      <c r="G5" s="5">
        <v>0.9746723343960326</v>
      </c>
      <c r="H5" s="5">
        <v>0.9735661098209752</v>
      </c>
      <c r="I5" s="6">
        <v>1.0E-4</v>
      </c>
      <c r="J5" s="4">
        <v>700.3290355930003</v>
      </c>
      <c r="K5" s="3" t="s">
        <v>22</v>
      </c>
      <c r="L5" s="7" t="s">
        <v>37</v>
      </c>
    </row>
    <row r="6" ht="27.75" customHeight="1">
      <c r="A6" s="3" t="s">
        <v>13</v>
      </c>
      <c r="B6" s="3" t="s">
        <v>15</v>
      </c>
      <c r="C6" s="4">
        <v>5.0</v>
      </c>
      <c r="D6" s="4">
        <v>0.040315610075742</v>
      </c>
      <c r="E6" s="5">
        <v>0.9861</v>
      </c>
      <c r="F6" s="4">
        <v>0.0615820642435937</v>
      </c>
      <c r="G6" s="5">
        <v>0.9792773645058448</v>
      </c>
      <c r="H6" s="5">
        <v>0.9781471623287304</v>
      </c>
      <c r="I6" s="6">
        <v>1.0E-4</v>
      </c>
      <c r="J6" s="4">
        <v>688.4121494400006</v>
      </c>
      <c r="K6" s="3" t="s">
        <v>22</v>
      </c>
      <c r="L6" s="7" t="s">
        <v>40</v>
      </c>
    </row>
    <row r="7">
      <c r="A7" s="8" t="s">
        <v>13</v>
      </c>
      <c r="B7" s="8" t="s">
        <v>15</v>
      </c>
      <c r="C7" s="9">
        <v>6.0</v>
      </c>
      <c r="D7" s="9">
        <v>0.036152634333074</v>
      </c>
      <c r="E7" s="9">
        <v>0.987675</v>
      </c>
      <c r="F7" s="9">
        <v>0.0553348479002532</v>
      </c>
      <c r="G7" s="9">
        <v>0.9797644349982289</v>
      </c>
      <c r="H7" s="9">
        <v>0.9787923980107576</v>
      </c>
      <c r="I7" s="9">
        <v>1.0E-4</v>
      </c>
      <c r="J7" s="9">
        <v>686.9038324069998</v>
      </c>
      <c r="K7" s="8" t="s">
        <v>22</v>
      </c>
      <c r="L7" s="8" t="s">
        <v>46</v>
      </c>
    </row>
    <row r="8">
      <c r="A8" s="8" t="s">
        <v>13</v>
      </c>
      <c r="B8" s="8" t="s">
        <v>15</v>
      </c>
      <c r="C8" s="9">
        <v>7.0</v>
      </c>
      <c r="D8" s="9">
        <v>0.0330130126617848</v>
      </c>
      <c r="E8" s="9">
        <v>0.9886125</v>
      </c>
      <c r="F8" s="9">
        <v>0.0541514457939833</v>
      </c>
      <c r="G8" s="9">
        <v>0.981269925611052</v>
      </c>
      <c r="H8" s="9">
        <v>0.9802787549122288</v>
      </c>
      <c r="I8" s="9">
        <v>1.0E-4</v>
      </c>
      <c r="J8" s="9">
        <v>689.7908188439997</v>
      </c>
      <c r="K8" s="8" t="s">
        <v>22</v>
      </c>
      <c r="L8" s="8" t="s">
        <v>50</v>
      </c>
    </row>
    <row r="9">
      <c r="A9" s="8" t="s">
        <v>13</v>
      </c>
      <c r="B9" s="8" t="s">
        <v>15</v>
      </c>
      <c r="C9" s="9">
        <v>8.0</v>
      </c>
      <c r="D9" s="9">
        <v>0.0302972815312445</v>
      </c>
      <c r="E9" s="9">
        <v>0.9895375</v>
      </c>
      <c r="F9" s="9">
        <v>0.0696009506159637</v>
      </c>
      <c r="G9" s="9">
        <v>0.9791002479631598</v>
      </c>
      <c r="H9" s="9">
        <v>0.977971587915262</v>
      </c>
      <c r="I9" s="9">
        <v>1.0E-4</v>
      </c>
      <c r="J9" s="9">
        <v>674.3460344390005</v>
      </c>
      <c r="K9" s="8" t="s">
        <v>22</v>
      </c>
      <c r="L9" s="8" t="s">
        <v>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K2:K6">
    <cfRule type="containsText" dxfId="5" priority="1" operator="containsText" text="MISMATCH">
      <formula>NOT(ISERROR(SEARCH(("MISMATCH"),(K2))))</formula>
    </cfRule>
  </conditionalFormatting>
  <conditionalFormatting sqref="K2:K6">
    <cfRule type="containsText" dxfId="6" priority="2" operator="containsText" text="NOT">
      <formula>NOT(ISERROR(SEARCH(("NOT"),(K2))))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0"/>
  <cols>
    <col customWidth="1" min="1" max="23" width="20.0"/>
    <col customWidth="1" min="24" max="24" width="30.0"/>
    <col customWidth="1" min="25" max="26" width="8.63"/>
  </cols>
  <sheetData>
    <row r="1" ht="57.75" customHeight="1">
      <c r="A1" s="2" t="s">
        <v>0</v>
      </c>
      <c r="B1" s="2" t="s">
        <v>1</v>
      </c>
      <c r="C1" s="2" t="s">
        <v>118</v>
      </c>
      <c r="D1" s="2" t="s">
        <v>119</v>
      </c>
      <c r="E1" s="2" t="s">
        <v>120</v>
      </c>
      <c r="F1" s="2" t="s">
        <v>121</v>
      </c>
      <c r="G1" s="2" t="s">
        <v>122</v>
      </c>
      <c r="H1" s="2" t="s">
        <v>123</v>
      </c>
      <c r="I1" s="2" t="s">
        <v>124</v>
      </c>
      <c r="J1" s="2" t="s">
        <v>125</v>
      </c>
      <c r="K1" s="2" t="s">
        <v>126</v>
      </c>
      <c r="L1" s="2" t="s">
        <v>127</v>
      </c>
      <c r="M1" s="2" t="s">
        <v>128</v>
      </c>
      <c r="N1" s="2" t="s">
        <v>129</v>
      </c>
      <c r="O1" s="2" t="s">
        <v>130</v>
      </c>
      <c r="P1" s="2" t="s">
        <v>131</v>
      </c>
      <c r="Q1" s="2" t="s">
        <v>132</v>
      </c>
      <c r="R1" s="2" t="s">
        <v>133</v>
      </c>
      <c r="S1" s="2" t="s">
        <v>134</v>
      </c>
      <c r="T1" s="2" t="s">
        <v>135</v>
      </c>
      <c r="U1" s="2" t="s">
        <v>136</v>
      </c>
      <c r="V1" s="2" t="s">
        <v>137</v>
      </c>
      <c r="W1" s="2" t="s">
        <v>11</v>
      </c>
      <c r="X1" s="2" t="s">
        <v>12</v>
      </c>
    </row>
    <row r="2" ht="27.75" customHeight="1">
      <c r="A2" s="10" t="s">
        <v>13</v>
      </c>
      <c r="B2" s="10" t="s">
        <v>15</v>
      </c>
      <c r="C2" s="16">
        <v>19977.0</v>
      </c>
      <c r="D2" s="16">
        <v>11378.0</v>
      </c>
      <c r="E2" s="16">
        <v>144.0</v>
      </c>
      <c r="F2" s="16">
        <v>180.0</v>
      </c>
      <c r="G2" s="16">
        <v>8275.0</v>
      </c>
      <c r="H2" s="16">
        <v>11378.0</v>
      </c>
      <c r="I2" s="16">
        <v>8275.0</v>
      </c>
      <c r="J2" s="16">
        <v>144.0</v>
      </c>
      <c r="K2" s="16">
        <v>180.0</v>
      </c>
      <c r="L2" s="27">
        <v>0.9837813485508334</v>
      </c>
      <c r="M2" s="27">
        <v>0.9828958308587719</v>
      </c>
      <c r="N2" s="27">
        <v>0.9787108219988173</v>
      </c>
      <c r="O2" s="27">
        <v>0.9875021697621941</v>
      </c>
      <c r="P2" s="27">
        <v>0.9807988621547944</v>
      </c>
      <c r="Q2" s="27">
        <v>0.9844263713445233</v>
      </c>
      <c r="R2" s="27">
        <v>0.9875021697621941</v>
      </c>
      <c r="S2" s="27">
        <v>0.9859618717504333</v>
      </c>
      <c r="T2" s="27">
        <v>0.9833803669526138</v>
      </c>
      <c r="U2" s="28" t="s">
        <v>138</v>
      </c>
      <c r="V2" s="28" t="s">
        <v>139</v>
      </c>
      <c r="W2" s="20" t="s">
        <v>22</v>
      </c>
      <c r="X2" s="13" t="s">
        <v>81</v>
      </c>
    </row>
    <row r="3" ht="27.75" customHeight="1">
      <c r="A3" s="18" t="s">
        <v>13</v>
      </c>
      <c r="B3" s="18" t="s">
        <v>83</v>
      </c>
      <c r="C3" s="18"/>
      <c r="D3" s="18"/>
      <c r="E3" s="18"/>
      <c r="F3" s="18"/>
      <c r="G3" s="18"/>
      <c r="H3" s="18"/>
      <c r="I3" s="18"/>
      <c r="J3" s="18"/>
      <c r="K3" s="18"/>
      <c r="L3" s="29"/>
      <c r="M3" s="29"/>
      <c r="N3" s="29"/>
      <c r="O3" s="29"/>
      <c r="P3" s="29"/>
      <c r="Q3" s="29"/>
      <c r="R3" s="29"/>
      <c r="S3" s="29"/>
      <c r="T3" s="29"/>
      <c r="U3" s="18"/>
      <c r="V3" s="18"/>
      <c r="W3" s="26" t="s">
        <v>140</v>
      </c>
      <c r="X3" s="22" t="s">
        <v>102</v>
      </c>
    </row>
    <row r="4" ht="27.75" customHeight="1">
      <c r="A4" s="18" t="s">
        <v>13</v>
      </c>
      <c r="B4" s="18" t="s">
        <v>103</v>
      </c>
      <c r="C4" s="18"/>
      <c r="D4" s="18"/>
      <c r="E4" s="18"/>
      <c r="F4" s="18"/>
      <c r="G4" s="18"/>
      <c r="H4" s="18"/>
      <c r="I4" s="18"/>
      <c r="J4" s="18"/>
      <c r="K4" s="18"/>
      <c r="L4" s="29"/>
      <c r="M4" s="29"/>
      <c r="N4" s="29"/>
      <c r="O4" s="29"/>
      <c r="P4" s="29"/>
      <c r="Q4" s="29"/>
      <c r="R4" s="29"/>
      <c r="S4" s="29"/>
      <c r="T4" s="29"/>
      <c r="U4" s="18"/>
      <c r="V4" s="18"/>
      <c r="W4" s="26" t="s">
        <v>140</v>
      </c>
      <c r="X4" s="22" t="s">
        <v>106</v>
      </c>
    </row>
    <row r="5" ht="27.75" customHeight="1">
      <c r="A5" s="18" t="s">
        <v>13</v>
      </c>
      <c r="B5" s="18" t="s">
        <v>107</v>
      </c>
      <c r="C5" s="18"/>
      <c r="D5" s="18"/>
      <c r="E5" s="18"/>
      <c r="F5" s="18"/>
      <c r="G5" s="18"/>
      <c r="H5" s="18"/>
      <c r="I5" s="18"/>
      <c r="J5" s="18"/>
      <c r="K5" s="18"/>
      <c r="L5" s="29"/>
      <c r="M5" s="29"/>
      <c r="N5" s="29"/>
      <c r="O5" s="29"/>
      <c r="P5" s="29"/>
      <c r="Q5" s="29"/>
      <c r="R5" s="29"/>
      <c r="S5" s="29"/>
      <c r="T5" s="29"/>
      <c r="U5" s="18"/>
      <c r="V5" s="18"/>
      <c r="W5" s="26" t="s">
        <v>140</v>
      </c>
      <c r="X5" s="22" t="s">
        <v>112</v>
      </c>
    </row>
    <row r="6" ht="27.75" customHeight="1">
      <c r="A6" s="18" t="s">
        <v>13</v>
      </c>
      <c r="B6" s="18" t="s">
        <v>113</v>
      </c>
      <c r="C6" s="18"/>
      <c r="D6" s="18"/>
      <c r="E6" s="18"/>
      <c r="F6" s="18"/>
      <c r="G6" s="18"/>
      <c r="H6" s="18"/>
      <c r="I6" s="18"/>
      <c r="J6" s="18"/>
      <c r="K6" s="18"/>
      <c r="L6" s="29"/>
      <c r="M6" s="29"/>
      <c r="N6" s="29"/>
      <c r="O6" s="29"/>
      <c r="P6" s="29"/>
      <c r="Q6" s="29"/>
      <c r="R6" s="29"/>
      <c r="S6" s="29"/>
      <c r="T6" s="29"/>
      <c r="U6" s="18"/>
      <c r="V6" s="18"/>
      <c r="W6" s="26" t="s">
        <v>140</v>
      </c>
      <c r="X6" s="22" t="s">
        <v>117</v>
      </c>
    </row>
    <row r="12" ht="27.75" customHeight="1">
      <c r="A12" s="30" t="s">
        <v>152</v>
      </c>
      <c r="B12" s="30"/>
      <c r="C12" s="30"/>
      <c r="D12" s="30"/>
      <c r="E12" s="30"/>
      <c r="F12" s="30"/>
    </row>
    <row r="13" ht="27.75" customHeight="1">
      <c r="A13" s="30" t="s">
        <v>153</v>
      </c>
      <c r="B13" s="30" t="s">
        <v>154</v>
      </c>
      <c r="C13" s="30" t="s">
        <v>155</v>
      </c>
      <c r="D13" s="30" t="s">
        <v>156</v>
      </c>
      <c r="E13" s="30" t="s">
        <v>154</v>
      </c>
      <c r="F13" s="30" t="s">
        <v>155</v>
      </c>
    </row>
    <row r="14" ht="27.75" customHeight="1">
      <c r="A14" s="30" t="s">
        <v>154</v>
      </c>
      <c r="B14" s="31">
        <f t="array" ref="B14">IFERROR(IF(ISNUMBER(INDEX($D$2:$D$1000,MATCH("celebA_cnn_v1|MAIN|alexnet",$X$2:$X$1000,0))),INDEX($D$2:$D$1000,MATCH("celebA_cnn_v1|MAIN|alexnet",$X$2:$X$1000,0)),""),"")</f>
        <v>11378</v>
      </c>
      <c r="C14" s="31">
        <f t="array" ref="C14">IFERROR(IF(ISNUMBER(INDEX($E$2:$E$1000,MATCH("celebA_cnn_v1|MAIN|alexnet",$X$2:$X$1000,0))),INDEX($E$2:$E$1000,MATCH("celebA_cnn_v1|MAIN|alexnet",$X$2:$X$1000,0)),""),"")</f>
        <v>144</v>
      </c>
      <c r="D14" s="30" t="s">
        <v>154</v>
      </c>
      <c r="E14" s="32">
        <f t="array" ref="E14">IFERROR(IF(ISNUMBER(INDEX($D$2:$D$1000,MATCH("celebA_cnn_v1|MAIN|alexnet",$X$2:$X$1000,0))),IFERROR(INDEX($D$2:$D$1000,MATCH("celebA_cnn_v1|MAIN|alexnet",$X$2:$X$1000,0))/(INDEX($D$2:$D$1000,MATCH("celebA_cnn_v1|MAIN|alexnet",$X$2:$X$1000,0))+INDEX($E$2:$E$1000,MATCH("celebA_cnn_v1|MAIN|alexnet",$X$2:$X$1000,0))),0),""),"")</f>
        <v>0.9875021698</v>
      </c>
      <c r="F14" s="32">
        <f t="array" ref="F14">IFERROR(IF(ISNUMBER(INDEX($D$2:$D$1000,MATCH("celebA_cnn_v1|MAIN|alexnet",$X$2:$X$1000,0))),IFERROR(INDEX($E$2:$E$1000,MATCH("celebA_cnn_v1|MAIN|alexnet",$X$2:$X$1000,0))/(INDEX($D$2:$D$1000,MATCH("celebA_cnn_v1|MAIN|alexnet",$X$2:$X$1000,0))+INDEX($E$2:$E$1000,MATCH("celebA_cnn_v1|MAIN|alexnet",$X$2:$X$1000,0))),0),""),"")</f>
        <v>0.01249783024</v>
      </c>
    </row>
    <row r="15" ht="27.75" customHeight="1">
      <c r="A15" s="30" t="s">
        <v>155</v>
      </c>
      <c r="B15" s="31">
        <f t="array" ref="B15">IFERROR(IF(ISNUMBER(INDEX($F$2:$F$1000,MATCH("celebA_cnn_v1|MAIN|alexnet",$X$2:$X$1000,0))),INDEX($F$2:$F$1000,MATCH("celebA_cnn_v1|MAIN|alexnet",$X$2:$X$1000,0)),""),"")</f>
        <v>180</v>
      </c>
      <c r="C15" s="31">
        <f t="array" ref="C15">IFERROR(IF(ISNUMBER(INDEX($G$2:$G$1000,MATCH("celebA_cnn_v1|MAIN|alexnet",$X$2:$X$1000,0))),INDEX($G$2:$G$1000,MATCH("celebA_cnn_v1|MAIN|alexnet",$X$2:$X$1000,0)),""),"")</f>
        <v>8275</v>
      </c>
      <c r="D15" s="30" t="s">
        <v>155</v>
      </c>
      <c r="E15" s="32">
        <f t="array" ref="E15">IFERROR(IF(ISNUMBER(INDEX($F$2:$F$1000,MATCH("celebA_cnn_v1|MAIN|alexnet",$X$2:$X$1000,0))),IFERROR(INDEX($F$2:$F$1000,MATCH("celebA_cnn_v1|MAIN|alexnet",$X$2:$X$1000,0))/(INDEX($F$2:$F$1000,MATCH("celebA_cnn_v1|MAIN|alexnet",$X$2:$X$1000,0))+INDEX($G$2:$G$1000,MATCH("celebA_cnn_v1|MAIN|alexnet",$X$2:$X$1000,0))),0),""),"")</f>
        <v>0.021289178</v>
      </c>
      <c r="F15" s="32">
        <f t="array" ref="F15">IFERROR(IF(ISNUMBER(INDEX($F$2:$F$1000,MATCH("celebA_cnn_v1|MAIN|alexnet",$X$2:$X$1000,0))),IFERROR(INDEX($G$2:$G$1000,MATCH("celebA_cnn_v1|MAIN|alexnet",$X$2:$X$1000,0))/(INDEX($F$2:$F$1000,MATCH("celebA_cnn_v1|MAIN|alexnet",$X$2:$X$1000,0))+INDEX($G$2:$G$1000,MATCH("celebA_cnn_v1|MAIN|alexnet",$X$2:$X$1000,0))),0),""),"")</f>
        <v>0.978710822</v>
      </c>
    </row>
    <row r="16" ht="27.75" customHeight="1">
      <c r="A16" s="30" t="str">
        <f t="array" ref="A16">IFERROR(INDEX($W$2:$W$1000,MATCH("celebA_cnn_v1|MAIN|alexnet",$X$2:$X$1000,0)),"NOT EVALUATED")</f>
        <v>EVALUATED</v>
      </c>
      <c r="B16" s="30"/>
      <c r="C16" s="30"/>
      <c r="D16" s="30"/>
      <c r="E16" s="30"/>
      <c r="F16" s="30"/>
    </row>
    <row r="20" ht="27.75" customHeight="1">
      <c r="A20" s="30" t="s">
        <v>158</v>
      </c>
      <c r="B20" s="30"/>
      <c r="C20" s="30"/>
      <c r="D20" s="30"/>
      <c r="E20" s="30"/>
      <c r="F20" s="30"/>
    </row>
    <row r="21" ht="27.75" customHeight="1">
      <c r="A21" s="30" t="s">
        <v>153</v>
      </c>
      <c r="B21" s="30" t="s">
        <v>154</v>
      </c>
      <c r="C21" s="30" t="s">
        <v>155</v>
      </c>
      <c r="D21" s="30" t="s">
        <v>156</v>
      </c>
      <c r="E21" s="30" t="s">
        <v>154</v>
      </c>
      <c r="F21" s="30" t="s">
        <v>155</v>
      </c>
    </row>
    <row r="22" ht="27.75" customHeight="1">
      <c r="A22" s="30" t="s">
        <v>154</v>
      </c>
      <c r="B22" s="31" t="str">
        <f t="array" ref="B22">IFERROR(IF(ISNUMBER(INDEX($D$2:$D$1000,MATCH("celebA_cnn_v1|MAIN|vgg16",$X$2:$X$1000,0))),INDEX($D$2:$D$1000,MATCH("celebA_cnn_v1|MAIN|vgg16",$X$2:$X$1000,0)),""),"")</f>
        <v/>
      </c>
      <c r="C22" s="31" t="str">
        <f t="array" ref="C22">IFERROR(IF(ISNUMBER(INDEX($E$2:$E$1000,MATCH("celebA_cnn_v1|MAIN|vgg16",$X$2:$X$1000,0))),INDEX($E$2:$E$1000,MATCH("celebA_cnn_v1|MAIN|vgg16",$X$2:$X$1000,0)),""),"")</f>
        <v/>
      </c>
      <c r="D22" s="30" t="s">
        <v>154</v>
      </c>
      <c r="E22" s="32" t="str">
        <f t="array" ref="E22">IFERROR(IF(ISNUMBER(INDEX($D$2:$D$1000,MATCH("celebA_cnn_v1|MAIN|vgg16",$X$2:$X$1000,0))),IFERROR(INDEX($D$2:$D$1000,MATCH("celebA_cnn_v1|MAIN|vgg16",$X$2:$X$1000,0))/(INDEX($D$2:$D$1000,MATCH("celebA_cnn_v1|MAIN|vgg16",$X$2:$X$1000,0))+INDEX($E$2:$E$1000,MATCH("celebA_cnn_v1|MAIN|vgg16",$X$2:$X$1000,0))),0),""),"")</f>
        <v/>
      </c>
      <c r="F22" s="32" t="str">
        <f t="array" ref="F22">IFERROR(IF(ISNUMBER(INDEX($D$2:$D$1000,MATCH("celebA_cnn_v1|MAIN|vgg16",$X$2:$X$1000,0))),IFERROR(INDEX($E$2:$E$1000,MATCH("celebA_cnn_v1|MAIN|vgg16",$X$2:$X$1000,0))/(INDEX($D$2:$D$1000,MATCH("celebA_cnn_v1|MAIN|vgg16",$X$2:$X$1000,0))+INDEX($E$2:$E$1000,MATCH("celebA_cnn_v1|MAIN|vgg16",$X$2:$X$1000,0))),0),""),"")</f>
        <v/>
      </c>
    </row>
    <row r="23" ht="27.75" customHeight="1">
      <c r="A23" s="30" t="s">
        <v>155</v>
      </c>
      <c r="B23" s="31" t="str">
        <f t="array" ref="B23">IFERROR(IF(ISNUMBER(INDEX($F$2:$F$1000,MATCH("celebA_cnn_v1|MAIN|vgg16",$X$2:$X$1000,0))),INDEX($F$2:$F$1000,MATCH("celebA_cnn_v1|MAIN|vgg16",$X$2:$X$1000,0)),""),"")</f>
        <v/>
      </c>
      <c r="C23" s="31" t="str">
        <f t="array" ref="C23">IFERROR(IF(ISNUMBER(INDEX($G$2:$G$1000,MATCH("celebA_cnn_v1|MAIN|vgg16",$X$2:$X$1000,0))),INDEX($G$2:$G$1000,MATCH("celebA_cnn_v1|MAIN|vgg16",$X$2:$X$1000,0)),""),"")</f>
        <v/>
      </c>
      <c r="D23" s="30" t="s">
        <v>155</v>
      </c>
      <c r="E23" s="32" t="str">
        <f t="array" ref="E23">IFERROR(IF(ISNUMBER(INDEX($F$2:$F$1000,MATCH("celebA_cnn_v1|MAIN|vgg16",$X$2:$X$1000,0))),IFERROR(INDEX($F$2:$F$1000,MATCH("celebA_cnn_v1|MAIN|vgg16",$X$2:$X$1000,0))/(INDEX($F$2:$F$1000,MATCH("celebA_cnn_v1|MAIN|vgg16",$X$2:$X$1000,0))+INDEX($G$2:$G$1000,MATCH("celebA_cnn_v1|MAIN|vgg16",$X$2:$X$1000,0))),0),""),"")</f>
        <v/>
      </c>
      <c r="F23" s="32" t="str">
        <f t="array" ref="F23">IFERROR(IF(ISNUMBER(INDEX($F$2:$F$1000,MATCH("celebA_cnn_v1|MAIN|vgg16",$X$2:$X$1000,0))),IFERROR(INDEX($G$2:$G$1000,MATCH("celebA_cnn_v1|MAIN|vgg16",$X$2:$X$1000,0))/(INDEX($F$2:$F$1000,MATCH("celebA_cnn_v1|MAIN|vgg16",$X$2:$X$1000,0))+INDEX($G$2:$G$1000,MATCH("celebA_cnn_v1|MAIN|vgg16",$X$2:$X$1000,0))),0),""),"")</f>
        <v/>
      </c>
    </row>
    <row r="24" ht="27.75" customHeight="1">
      <c r="A24" s="30" t="str">
        <f t="array" ref="A24">IFERROR(INDEX($W$2:$W$1000,MATCH("celebA_cnn_v1|MAIN|vgg16",$X$2:$X$1000,0)),"NOT EVALUATED")</f>
        <v>NOT EVALUATED</v>
      </c>
      <c r="B24" s="30"/>
      <c r="C24" s="30"/>
      <c r="D24" s="30"/>
      <c r="E24" s="30"/>
      <c r="F24" s="30"/>
    </row>
    <row r="25" ht="15.75" customHeight="1"/>
    <row r="26" ht="15.75" customHeight="1"/>
    <row r="27" ht="15.75" customHeight="1"/>
    <row r="28" ht="27.75" customHeight="1">
      <c r="A28" s="30" t="s">
        <v>177</v>
      </c>
      <c r="B28" s="30"/>
      <c r="C28" s="30"/>
      <c r="D28" s="30"/>
      <c r="E28" s="30"/>
      <c r="F28" s="30"/>
    </row>
    <row r="29" ht="27.75" customHeight="1">
      <c r="A29" s="30" t="s">
        <v>153</v>
      </c>
      <c r="B29" s="30" t="s">
        <v>154</v>
      </c>
      <c r="C29" s="30" t="s">
        <v>155</v>
      </c>
      <c r="D29" s="30" t="s">
        <v>156</v>
      </c>
      <c r="E29" s="30" t="s">
        <v>154</v>
      </c>
      <c r="F29" s="30" t="s">
        <v>155</v>
      </c>
    </row>
    <row r="30" ht="27.75" customHeight="1">
      <c r="A30" s="30" t="s">
        <v>154</v>
      </c>
      <c r="B30" s="31" t="str">
        <f t="array" ref="B30">IFERROR(IF(ISNUMBER(INDEX($D$2:$D$1000,MATCH("celebA_cnn_v1|MAIN|vgg19",$X$2:$X$1000,0))),INDEX($D$2:$D$1000,MATCH("celebA_cnn_v1|MAIN|vgg19",$X$2:$X$1000,0)),""),"")</f>
        <v/>
      </c>
      <c r="C30" s="31" t="str">
        <f t="array" ref="C30">IFERROR(IF(ISNUMBER(INDEX($E$2:$E$1000,MATCH("celebA_cnn_v1|MAIN|vgg19",$X$2:$X$1000,0))),INDEX($E$2:$E$1000,MATCH("celebA_cnn_v1|MAIN|vgg19",$X$2:$X$1000,0)),""),"")</f>
        <v/>
      </c>
      <c r="D30" s="30" t="s">
        <v>154</v>
      </c>
      <c r="E30" s="32" t="str">
        <f t="array" ref="E30">IFERROR(IF(ISNUMBER(INDEX($D$2:$D$1000,MATCH("celebA_cnn_v1|MAIN|vgg19",$X$2:$X$1000,0))),IFERROR(INDEX($D$2:$D$1000,MATCH("celebA_cnn_v1|MAIN|vgg19",$X$2:$X$1000,0))/(INDEX($D$2:$D$1000,MATCH("celebA_cnn_v1|MAIN|vgg19",$X$2:$X$1000,0))+INDEX($E$2:$E$1000,MATCH("celebA_cnn_v1|MAIN|vgg19",$X$2:$X$1000,0))),0),""),"")</f>
        <v/>
      </c>
      <c r="F30" s="32" t="str">
        <f t="array" ref="F30">IFERROR(IF(ISNUMBER(INDEX($D$2:$D$1000,MATCH("celebA_cnn_v1|MAIN|vgg19",$X$2:$X$1000,0))),IFERROR(INDEX($E$2:$E$1000,MATCH("celebA_cnn_v1|MAIN|vgg19",$X$2:$X$1000,0))/(INDEX($D$2:$D$1000,MATCH("celebA_cnn_v1|MAIN|vgg19",$X$2:$X$1000,0))+INDEX($E$2:$E$1000,MATCH("celebA_cnn_v1|MAIN|vgg19",$X$2:$X$1000,0))),0),""),"")</f>
        <v/>
      </c>
    </row>
    <row r="31" ht="27.75" customHeight="1">
      <c r="A31" s="30" t="s">
        <v>155</v>
      </c>
      <c r="B31" s="31" t="str">
        <f t="array" ref="B31">IFERROR(IF(ISNUMBER(INDEX($F$2:$F$1000,MATCH("celebA_cnn_v1|MAIN|vgg19",$X$2:$X$1000,0))),INDEX($F$2:$F$1000,MATCH("celebA_cnn_v1|MAIN|vgg19",$X$2:$X$1000,0)),""),"")</f>
        <v/>
      </c>
      <c r="C31" s="31" t="str">
        <f t="array" ref="C31">IFERROR(IF(ISNUMBER(INDEX($G$2:$G$1000,MATCH("celebA_cnn_v1|MAIN|vgg19",$X$2:$X$1000,0))),INDEX($G$2:$G$1000,MATCH("celebA_cnn_v1|MAIN|vgg19",$X$2:$X$1000,0)),""),"")</f>
        <v/>
      </c>
      <c r="D31" s="30" t="s">
        <v>155</v>
      </c>
      <c r="E31" s="32" t="str">
        <f t="array" ref="E31">IFERROR(IF(ISNUMBER(INDEX($F$2:$F$1000,MATCH("celebA_cnn_v1|MAIN|vgg19",$X$2:$X$1000,0))),IFERROR(INDEX($F$2:$F$1000,MATCH("celebA_cnn_v1|MAIN|vgg19",$X$2:$X$1000,0))/(INDEX($F$2:$F$1000,MATCH("celebA_cnn_v1|MAIN|vgg19",$X$2:$X$1000,0))+INDEX($G$2:$G$1000,MATCH("celebA_cnn_v1|MAIN|vgg19",$X$2:$X$1000,0))),0),""),"")</f>
        <v/>
      </c>
      <c r="F31" s="32" t="str">
        <f t="array" ref="F31">IFERROR(IF(ISNUMBER(INDEX($F$2:$F$1000,MATCH("celebA_cnn_v1|MAIN|vgg19",$X$2:$X$1000,0))),IFERROR(INDEX($G$2:$G$1000,MATCH("celebA_cnn_v1|MAIN|vgg19",$X$2:$X$1000,0))/(INDEX($F$2:$F$1000,MATCH("celebA_cnn_v1|MAIN|vgg19",$X$2:$X$1000,0))+INDEX($G$2:$G$1000,MATCH("celebA_cnn_v1|MAIN|vgg19",$X$2:$X$1000,0))),0),""),"")</f>
        <v/>
      </c>
    </row>
    <row r="32" ht="27.75" customHeight="1">
      <c r="A32" s="30" t="str">
        <f t="array" ref="A32">IFERROR(INDEX($W$2:$W$1000,MATCH("celebA_cnn_v1|MAIN|vgg19",$X$2:$X$1000,0)),"NOT EVALUATED")</f>
        <v>NOT EVALUATED</v>
      </c>
      <c r="B32" s="30"/>
      <c r="C32" s="30"/>
      <c r="D32" s="30"/>
      <c r="E32" s="30"/>
      <c r="F32" s="30"/>
    </row>
    <row r="33" ht="15.75" customHeight="1"/>
    <row r="34" ht="15.75" customHeight="1"/>
    <row r="35" ht="15.75" customHeight="1"/>
    <row r="36" ht="27.75" customHeight="1">
      <c r="A36" s="30" t="s">
        <v>179</v>
      </c>
      <c r="B36" s="30"/>
      <c r="C36" s="30"/>
      <c r="D36" s="30"/>
      <c r="E36" s="30"/>
      <c r="F36" s="30"/>
    </row>
    <row r="37" ht="27.75" customHeight="1">
      <c r="A37" s="30" t="s">
        <v>153</v>
      </c>
      <c r="B37" s="30" t="s">
        <v>154</v>
      </c>
      <c r="C37" s="30" t="s">
        <v>155</v>
      </c>
      <c r="D37" s="30" t="s">
        <v>156</v>
      </c>
      <c r="E37" s="30" t="s">
        <v>154</v>
      </c>
      <c r="F37" s="30" t="s">
        <v>155</v>
      </c>
    </row>
    <row r="38" ht="27.75" customHeight="1">
      <c r="A38" s="30" t="s">
        <v>154</v>
      </c>
      <c r="B38" s="31" t="str">
        <f t="array" ref="B38">IFERROR(IF(ISNUMBER(INDEX($D$2:$D$1000,MATCH("celebA_cnn_v1|MAIN|googlenet",$X$2:$X$1000,0))),INDEX($D$2:$D$1000,MATCH("celebA_cnn_v1|MAIN|googlenet",$X$2:$X$1000,0)),""),"")</f>
        <v/>
      </c>
      <c r="C38" s="31" t="str">
        <f t="array" ref="C38">IFERROR(IF(ISNUMBER(INDEX($E$2:$E$1000,MATCH("celebA_cnn_v1|MAIN|googlenet",$X$2:$X$1000,0))),INDEX($E$2:$E$1000,MATCH("celebA_cnn_v1|MAIN|googlenet",$X$2:$X$1000,0)),""),"")</f>
        <v/>
      </c>
      <c r="D38" s="30" t="s">
        <v>154</v>
      </c>
      <c r="E38" s="32" t="str">
        <f t="array" ref="E38">IFERROR(IF(ISNUMBER(INDEX($D$2:$D$1000,MATCH("celebA_cnn_v1|MAIN|googlenet",$X$2:$X$1000,0))),IFERROR(INDEX($D$2:$D$1000,MATCH("celebA_cnn_v1|MAIN|googlenet",$X$2:$X$1000,0))/(INDEX($D$2:$D$1000,MATCH("celebA_cnn_v1|MAIN|googlenet",$X$2:$X$1000,0))+INDEX($E$2:$E$1000,MATCH("celebA_cnn_v1|MAIN|googlenet",$X$2:$X$1000,0))),0),""),"")</f>
        <v/>
      </c>
      <c r="F38" s="32" t="str">
        <f t="array" ref="F38">IFERROR(IF(ISNUMBER(INDEX($D$2:$D$1000,MATCH("celebA_cnn_v1|MAIN|googlenet",$X$2:$X$1000,0))),IFERROR(INDEX($E$2:$E$1000,MATCH("celebA_cnn_v1|MAIN|googlenet",$X$2:$X$1000,0))/(INDEX($D$2:$D$1000,MATCH("celebA_cnn_v1|MAIN|googlenet",$X$2:$X$1000,0))+INDEX($E$2:$E$1000,MATCH("celebA_cnn_v1|MAIN|googlenet",$X$2:$X$1000,0))),0),""),"")</f>
        <v/>
      </c>
    </row>
    <row r="39" ht="27.75" customHeight="1">
      <c r="A39" s="30" t="s">
        <v>155</v>
      </c>
      <c r="B39" s="31" t="str">
        <f t="array" ref="B39">IFERROR(IF(ISNUMBER(INDEX($F$2:$F$1000,MATCH("celebA_cnn_v1|MAIN|googlenet",$X$2:$X$1000,0))),INDEX($F$2:$F$1000,MATCH("celebA_cnn_v1|MAIN|googlenet",$X$2:$X$1000,0)),""),"")</f>
        <v/>
      </c>
      <c r="C39" s="31" t="str">
        <f t="array" ref="C39">IFERROR(IF(ISNUMBER(INDEX($G$2:$G$1000,MATCH("celebA_cnn_v1|MAIN|googlenet",$X$2:$X$1000,0))),INDEX($G$2:$G$1000,MATCH("celebA_cnn_v1|MAIN|googlenet",$X$2:$X$1000,0)),""),"")</f>
        <v/>
      </c>
      <c r="D39" s="30" t="s">
        <v>155</v>
      </c>
      <c r="E39" s="32" t="str">
        <f t="array" ref="E39">IFERROR(IF(ISNUMBER(INDEX($F$2:$F$1000,MATCH("celebA_cnn_v1|MAIN|googlenet",$X$2:$X$1000,0))),IFERROR(INDEX($F$2:$F$1000,MATCH("celebA_cnn_v1|MAIN|googlenet",$X$2:$X$1000,0))/(INDEX($F$2:$F$1000,MATCH("celebA_cnn_v1|MAIN|googlenet",$X$2:$X$1000,0))+INDEX($G$2:$G$1000,MATCH("celebA_cnn_v1|MAIN|googlenet",$X$2:$X$1000,0))),0),""),"")</f>
        <v/>
      </c>
      <c r="F39" s="32" t="str">
        <f t="array" ref="F39">IFERROR(IF(ISNUMBER(INDEX($F$2:$F$1000,MATCH("celebA_cnn_v1|MAIN|googlenet",$X$2:$X$1000,0))),IFERROR(INDEX($G$2:$G$1000,MATCH("celebA_cnn_v1|MAIN|googlenet",$X$2:$X$1000,0))/(INDEX($F$2:$F$1000,MATCH("celebA_cnn_v1|MAIN|googlenet",$X$2:$X$1000,0))+INDEX($G$2:$G$1000,MATCH("celebA_cnn_v1|MAIN|googlenet",$X$2:$X$1000,0))),0),""),"")</f>
        <v/>
      </c>
    </row>
    <row r="40" ht="27.75" customHeight="1">
      <c r="A40" s="30" t="str">
        <f t="array" ref="A40">IFERROR(INDEX($W$2:$W$1000,MATCH("celebA_cnn_v1|MAIN|googlenet",$X$2:$X$1000,0)),"NOT EVALUATED")</f>
        <v>NOT EVALUATED</v>
      </c>
      <c r="B40" s="30"/>
      <c r="C40" s="30"/>
      <c r="D40" s="30"/>
      <c r="E40" s="30"/>
      <c r="F40" s="30"/>
    </row>
    <row r="41" ht="15.75" customHeight="1"/>
    <row r="42" ht="15.75" customHeight="1"/>
    <row r="43" ht="15.75" customHeight="1"/>
    <row r="44" ht="27.75" customHeight="1">
      <c r="A44" s="30" t="s">
        <v>197</v>
      </c>
      <c r="B44" s="30"/>
      <c r="C44" s="30"/>
      <c r="D44" s="30"/>
      <c r="E44" s="30"/>
      <c r="F44" s="30"/>
    </row>
    <row r="45" ht="27.75" customHeight="1">
      <c r="A45" s="30" t="s">
        <v>153</v>
      </c>
      <c r="B45" s="30" t="s">
        <v>154</v>
      </c>
      <c r="C45" s="30" t="s">
        <v>155</v>
      </c>
      <c r="D45" s="30" t="s">
        <v>156</v>
      </c>
      <c r="E45" s="30" t="s">
        <v>154</v>
      </c>
      <c r="F45" s="30" t="s">
        <v>155</v>
      </c>
    </row>
    <row r="46" ht="27.75" customHeight="1">
      <c r="A46" s="30" t="s">
        <v>154</v>
      </c>
      <c r="B46" s="31" t="str">
        <f t="array" ref="B46">IFERROR(IF(ISNUMBER(INDEX($D$2:$D$1000,MATCH("celebA_cnn_v1|MAIN|resnet18",$X$2:$X$1000,0))),INDEX($D$2:$D$1000,MATCH("celebA_cnn_v1|MAIN|resnet18",$X$2:$X$1000,0)),""),"")</f>
        <v/>
      </c>
      <c r="C46" s="31" t="str">
        <f t="array" ref="C46">IFERROR(IF(ISNUMBER(INDEX($E$2:$E$1000,MATCH("celebA_cnn_v1|MAIN|resnet18",$X$2:$X$1000,0))),INDEX($E$2:$E$1000,MATCH("celebA_cnn_v1|MAIN|resnet18",$X$2:$X$1000,0)),""),"")</f>
        <v/>
      </c>
      <c r="D46" s="30" t="s">
        <v>154</v>
      </c>
      <c r="E46" s="32" t="str">
        <f t="array" ref="E46">IFERROR(IF(ISNUMBER(INDEX($D$2:$D$1000,MATCH("celebA_cnn_v1|MAIN|resnet18",$X$2:$X$1000,0))),IFERROR(INDEX($D$2:$D$1000,MATCH("celebA_cnn_v1|MAIN|resnet18",$X$2:$X$1000,0))/(INDEX($D$2:$D$1000,MATCH("celebA_cnn_v1|MAIN|resnet18",$X$2:$X$1000,0))+INDEX($E$2:$E$1000,MATCH("celebA_cnn_v1|MAIN|resnet18",$X$2:$X$1000,0))),0),""),"")</f>
        <v/>
      </c>
      <c r="F46" s="32" t="str">
        <f t="array" ref="F46">IFERROR(IF(ISNUMBER(INDEX($D$2:$D$1000,MATCH("celebA_cnn_v1|MAIN|resnet18",$X$2:$X$1000,0))),IFERROR(INDEX($E$2:$E$1000,MATCH("celebA_cnn_v1|MAIN|resnet18",$X$2:$X$1000,0))/(INDEX($D$2:$D$1000,MATCH("celebA_cnn_v1|MAIN|resnet18",$X$2:$X$1000,0))+INDEX($E$2:$E$1000,MATCH("celebA_cnn_v1|MAIN|resnet18",$X$2:$X$1000,0))),0),""),"")</f>
        <v/>
      </c>
    </row>
    <row r="47" ht="27.75" customHeight="1">
      <c r="A47" s="30" t="s">
        <v>155</v>
      </c>
      <c r="B47" s="31" t="str">
        <f t="array" ref="B47">IFERROR(IF(ISNUMBER(INDEX($F$2:$F$1000,MATCH("celebA_cnn_v1|MAIN|resnet18",$X$2:$X$1000,0))),INDEX($F$2:$F$1000,MATCH("celebA_cnn_v1|MAIN|resnet18",$X$2:$X$1000,0)),""),"")</f>
        <v/>
      </c>
      <c r="C47" s="31" t="str">
        <f t="array" ref="C47">IFERROR(IF(ISNUMBER(INDEX($G$2:$G$1000,MATCH("celebA_cnn_v1|MAIN|resnet18",$X$2:$X$1000,0))),INDEX($G$2:$G$1000,MATCH("celebA_cnn_v1|MAIN|resnet18",$X$2:$X$1000,0)),""),"")</f>
        <v/>
      </c>
      <c r="D47" s="30" t="s">
        <v>155</v>
      </c>
      <c r="E47" s="32" t="str">
        <f t="array" ref="E47">IFERROR(IF(ISNUMBER(INDEX($F$2:$F$1000,MATCH("celebA_cnn_v1|MAIN|resnet18",$X$2:$X$1000,0))),IFERROR(INDEX($F$2:$F$1000,MATCH("celebA_cnn_v1|MAIN|resnet18",$X$2:$X$1000,0))/(INDEX($F$2:$F$1000,MATCH("celebA_cnn_v1|MAIN|resnet18",$X$2:$X$1000,0))+INDEX($G$2:$G$1000,MATCH("celebA_cnn_v1|MAIN|resnet18",$X$2:$X$1000,0))),0),""),"")</f>
        <v/>
      </c>
      <c r="F47" s="32" t="str">
        <f t="array" ref="F47">IFERROR(IF(ISNUMBER(INDEX($F$2:$F$1000,MATCH("celebA_cnn_v1|MAIN|resnet18",$X$2:$X$1000,0))),IFERROR(INDEX($G$2:$G$1000,MATCH("celebA_cnn_v1|MAIN|resnet18",$X$2:$X$1000,0))/(INDEX($F$2:$F$1000,MATCH("celebA_cnn_v1|MAIN|resnet18",$X$2:$X$1000,0))+INDEX($G$2:$G$1000,MATCH("celebA_cnn_v1|MAIN|resnet18",$X$2:$X$1000,0))),0),""),"")</f>
        <v/>
      </c>
    </row>
    <row r="48" ht="27.75" customHeight="1">
      <c r="A48" s="30" t="str">
        <f t="array" ref="A48">IFERROR(INDEX($W$2:$W$1000,MATCH("celebA_cnn_v1|MAIN|resnet18",$X$2:$X$1000,0)),"NOT EVALUATED")</f>
        <v>NOT EVALUATED</v>
      </c>
      <c r="B48" s="30"/>
      <c r="C48" s="30"/>
      <c r="D48" s="30"/>
      <c r="E48" s="30"/>
      <c r="F48" s="30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W2:W6">
    <cfRule type="containsText" dxfId="5" priority="1" operator="containsText" text="MISMATCH">
      <formula>NOT(ISERROR(SEARCH(("MISMATCH"),(W2))))</formula>
    </cfRule>
  </conditionalFormatting>
  <conditionalFormatting sqref="W2:W6">
    <cfRule type="containsText" dxfId="6" priority="2" operator="containsText" text="NOT">
      <formula>NOT(ISERROR(SEARCH(("NOT"),(W2))))</formula>
    </cfRule>
  </conditionalFormatting>
  <conditionalFormatting sqref="E14:F15">
    <cfRule type="colorScale" priority="3">
      <colorScale>
        <cfvo type="formula" val="0"/>
        <cfvo type="formula" val="1"/>
        <color rgb="FFFFFFFF"/>
        <color rgb="FF1967D2"/>
      </colorScale>
    </cfRule>
  </conditionalFormatting>
  <conditionalFormatting sqref="E22:F23">
    <cfRule type="colorScale" priority="4">
      <colorScale>
        <cfvo type="formula" val="0"/>
        <cfvo type="formula" val="1"/>
        <color rgb="FFFFFFFF"/>
        <color rgb="FF1967D2"/>
      </colorScale>
    </cfRule>
  </conditionalFormatting>
  <conditionalFormatting sqref="E30:F31">
    <cfRule type="colorScale" priority="5">
      <colorScale>
        <cfvo type="formula" val="0"/>
        <cfvo type="formula" val="1"/>
        <color rgb="FFFFFFFF"/>
        <color rgb="FF1967D2"/>
      </colorScale>
    </cfRule>
  </conditionalFormatting>
  <conditionalFormatting sqref="E38:F39">
    <cfRule type="colorScale" priority="6">
      <colorScale>
        <cfvo type="formula" val="0"/>
        <cfvo type="formula" val="1"/>
        <color rgb="FFFFFFFF"/>
        <color rgb="FF1967D2"/>
      </colorScale>
    </cfRule>
  </conditionalFormatting>
  <conditionalFormatting sqref="E46:F47">
    <cfRule type="colorScale" priority="7">
      <colorScale>
        <cfvo type="formula" val="0"/>
        <cfvo type="formula" val="1"/>
        <color rgb="FFFFFFFF"/>
        <color rgb="FF1967D2"/>
      </colorScale>
    </cfRule>
  </conditionalFormatting>
  <dataValidations>
    <dataValidation type="list" allowBlank="1" sqref="W2:W6">
      <formula1>"NOT EVALUATED,EVALUATED"</formula1>
    </dataValidation>
  </dataValidations>
  <hyperlinks>
    <hyperlink r:id="rId1" ref="U2"/>
    <hyperlink r:id="rId2" ref="V2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3" width="20.0"/>
    <col customWidth="1" min="14" max="15" width="30.0"/>
    <col customWidth="1" min="16" max="18" width="20.0"/>
    <col customWidth="1" min="19" max="19" width="30.0"/>
    <col customWidth="1" min="20" max="26" width="8.63"/>
  </cols>
  <sheetData>
    <row r="1" ht="57.75" customHeight="1">
      <c r="A1" s="2" t="s">
        <v>1</v>
      </c>
      <c r="B1" s="2" t="s">
        <v>21</v>
      </c>
      <c r="C1" s="2" t="s">
        <v>127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20</v>
      </c>
      <c r="M1" s="2" t="s">
        <v>149</v>
      </c>
      <c r="N1" s="2" t="s">
        <v>150</v>
      </c>
      <c r="O1" s="2" t="s">
        <v>39</v>
      </c>
      <c r="P1" s="2" t="s">
        <v>11</v>
      </c>
      <c r="Q1" s="2" t="s">
        <v>151</v>
      </c>
      <c r="R1" s="2" t="s">
        <v>0</v>
      </c>
      <c r="S1" s="2" t="s">
        <v>12</v>
      </c>
    </row>
    <row r="2" ht="27.75" customHeight="1">
      <c r="A2" s="10" t="s">
        <v>15</v>
      </c>
      <c r="B2" s="10" t="s">
        <v>76</v>
      </c>
      <c r="C2" s="27">
        <v>0.9837813485508334</v>
      </c>
      <c r="D2" s="27">
        <v>0.9836611011016476</v>
      </c>
      <c r="E2" s="27">
        <v>0.9831064958805057</v>
      </c>
      <c r="F2" s="27">
        <v>0.9833803669526138</v>
      </c>
      <c r="G2" s="27">
        <v>0.98377669649233</v>
      </c>
      <c r="H2" s="16">
        <v>0.0415714995125868</v>
      </c>
      <c r="I2" s="16">
        <v>3.0</v>
      </c>
      <c r="J2" s="16">
        <v>5448.572949625999</v>
      </c>
      <c r="K2" s="16">
        <v>2.1704569000576157</v>
      </c>
      <c r="L2" s="11">
        <v>5.7012034E7</v>
      </c>
      <c r="M2" s="16">
        <v>1185.379328</v>
      </c>
      <c r="N2" s="14" t="s">
        <v>138</v>
      </c>
      <c r="O2" s="14" t="s">
        <v>75</v>
      </c>
      <c r="P2" s="20" t="s">
        <v>22</v>
      </c>
      <c r="Q2" s="20" t="s">
        <v>99</v>
      </c>
      <c r="R2" s="10" t="s">
        <v>13</v>
      </c>
      <c r="S2" s="13" t="s">
        <v>81</v>
      </c>
    </row>
    <row r="3" ht="27.75" customHeight="1">
      <c r="A3" s="18" t="s">
        <v>83</v>
      </c>
      <c r="B3" s="18" t="s">
        <v>76</v>
      </c>
      <c r="C3" s="29"/>
      <c r="D3" s="29"/>
      <c r="E3" s="29"/>
      <c r="F3" s="29"/>
      <c r="G3" s="29"/>
      <c r="H3" s="18"/>
      <c r="I3" s="18"/>
      <c r="J3" s="18"/>
      <c r="K3" s="18"/>
      <c r="L3" s="11">
        <v>1.34268738E8</v>
      </c>
      <c r="M3" s="18"/>
      <c r="N3" s="22"/>
      <c r="O3" s="22"/>
      <c r="P3" s="26" t="s">
        <v>140</v>
      </c>
      <c r="Q3" s="26" t="s">
        <v>109</v>
      </c>
      <c r="R3" s="18" t="s">
        <v>13</v>
      </c>
      <c r="S3" s="22" t="s">
        <v>102</v>
      </c>
    </row>
    <row r="4" ht="27.75" customHeight="1">
      <c r="A4" s="18" t="s">
        <v>103</v>
      </c>
      <c r="B4" s="18" t="s">
        <v>76</v>
      </c>
      <c r="C4" s="29"/>
      <c r="D4" s="29"/>
      <c r="E4" s="29"/>
      <c r="F4" s="29"/>
      <c r="G4" s="29"/>
      <c r="H4" s="18"/>
      <c r="I4" s="18"/>
      <c r="J4" s="18"/>
      <c r="K4" s="18"/>
      <c r="L4" s="11">
        <v>1.39578434E8</v>
      </c>
      <c r="M4" s="18"/>
      <c r="N4" s="22"/>
      <c r="O4" s="22"/>
      <c r="P4" s="26" t="s">
        <v>140</v>
      </c>
      <c r="Q4" s="26" t="s">
        <v>109</v>
      </c>
      <c r="R4" s="18" t="s">
        <v>13</v>
      </c>
      <c r="S4" s="22" t="s">
        <v>106</v>
      </c>
    </row>
    <row r="5" ht="27.75" customHeight="1">
      <c r="A5" s="18" t="s">
        <v>107</v>
      </c>
      <c r="B5" s="18" t="s">
        <v>76</v>
      </c>
      <c r="C5" s="29"/>
      <c r="D5" s="29"/>
      <c r="E5" s="29"/>
      <c r="F5" s="29"/>
      <c r="G5" s="29"/>
      <c r="H5" s="18"/>
      <c r="I5" s="18"/>
      <c r="J5" s="18"/>
      <c r="K5" s="18"/>
      <c r="L5" s="11">
        <v>5601954.0</v>
      </c>
      <c r="M5" s="18"/>
      <c r="N5" s="22"/>
      <c r="O5" s="22"/>
      <c r="P5" s="26" t="s">
        <v>140</v>
      </c>
      <c r="Q5" s="26" t="s">
        <v>109</v>
      </c>
      <c r="R5" s="18" t="s">
        <v>13</v>
      </c>
      <c r="S5" s="22" t="s">
        <v>112</v>
      </c>
    </row>
    <row r="6" ht="27.75" customHeight="1">
      <c r="A6" s="18" t="s">
        <v>113</v>
      </c>
      <c r="B6" s="18" t="s">
        <v>76</v>
      </c>
      <c r="C6" s="29"/>
      <c r="D6" s="29"/>
      <c r="E6" s="29"/>
      <c r="F6" s="29"/>
      <c r="G6" s="29"/>
      <c r="H6" s="18"/>
      <c r="I6" s="18"/>
      <c r="J6" s="18"/>
      <c r="K6" s="18"/>
      <c r="L6" s="11">
        <v>1.1177538E7</v>
      </c>
      <c r="M6" s="18"/>
      <c r="N6" s="22"/>
      <c r="O6" s="22"/>
      <c r="P6" s="26" t="s">
        <v>140</v>
      </c>
      <c r="Q6" s="26" t="s">
        <v>109</v>
      </c>
      <c r="R6" s="18" t="s">
        <v>13</v>
      </c>
      <c r="S6" s="2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P2:P6">
    <cfRule type="containsText" dxfId="5" priority="1" operator="containsText" text="MISMATCH">
      <formula>NOT(ISERROR(SEARCH(("MISMATCH"),(P2))))</formula>
    </cfRule>
  </conditionalFormatting>
  <conditionalFormatting sqref="P2:P6">
    <cfRule type="containsText" dxfId="6" priority="2" operator="containsText" text="NOT">
      <formula>NOT(ISERROR(SEARCH(("NOT"),(P2))))</formula>
    </cfRule>
  </conditionalFormatting>
  <conditionalFormatting sqref="Q2:Q6">
    <cfRule type="containsText" dxfId="5" priority="3" operator="containsText" text="MISMATCH">
      <formula>NOT(ISERROR(SEARCH(("MISMATCH"),(Q2))))</formula>
    </cfRule>
  </conditionalFormatting>
  <conditionalFormatting sqref="Q2:Q6">
    <cfRule type="containsText" dxfId="6" priority="4" operator="containsText" text="NOT">
      <formula>NOT(ISERROR(SEARCH(("NOT"),(Q2))))</formula>
    </cfRule>
  </conditionalFormatting>
  <conditionalFormatting sqref="C2:C6">
    <cfRule type="expression" dxfId="7" priority="5">
      <formula>AND(ISNUMBER(C2),C2=MAX($C$2:$C$6))</formula>
    </cfRule>
  </conditionalFormatting>
  <conditionalFormatting sqref="F2:F6">
    <cfRule type="expression" dxfId="7" priority="6">
      <formula>AND(ISNUMBER(F2),F2=MAX($F$2:$F$6))</formula>
    </cfRule>
  </conditionalFormatting>
  <dataValidations>
    <dataValidation type="list" allowBlank="1" sqref="Q2:Q6">
      <formula1>"MATCH,MISMATCH,NOT VERIFIED"</formula1>
    </dataValidation>
    <dataValidation type="list" allowBlank="1" sqref="P2:P6">
      <formula1>"NOT EVALUATED,PREPARED,READY TO TRAIN,RUNNING,TRAINED,EVALUATED,FAILED,BLOCKED"</formula1>
    </dataValidation>
  </dataValidations>
  <hyperlinks>
    <hyperlink r:id="rId1" ref="N2"/>
    <hyperlink r:id="rId2" ref="O2"/>
  </hyperlinks>
  <printOptions/>
  <pageMargins bottom="0.75" footer="0.0" header="0.0" left="0.7" right="0.7" top="0.75"/>
  <pageSetup orientation="landscape"/>
  <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34.0"/>
    <col customWidth="1" min="3" max="3" width="52.0"/>
    <col customWidth="1" min="4" max="26" width="8.63"/>
  </cols>
  <sheetData>
    <row r="1" ht="57.75" customHeight="1">
      <c r="A1" s="1" t="s">
        <v>180</v>
      </c>
      <c r="B1" s="1" t="s">
        <v>11</v>
      </c>
      <c r="C1" s="1" t="s">
        <v>181</v>
      </c>
    </row>
    <row r="2" ht="27.75" customHeight="1">
      <c r="A2" s="3" t="s">
        <v>182</v>
      </c>
      <c r="B2" s="3" t="s">
        <v>183</v>
      </c>
      <c r="C2" s="7" t="s">
        <v>184</v>
      </c>
    </row>
    <row r="3" ht="27.75" customHeight="1">
      <c r="A3" s="3" t="s">
        <v>185</v>
      </c>
      <c r="B3" s="3" t="s">
        <v>183</v>
      </c>
      <c r="C3" s="7" t="s">
        <v>184</v>
      </c>
    </row>
    <row r="4" ht="27.75" customHeight="1">
      <c r="A4" s="3" t="s">
        <v>186</v>
      </c>
      <c r="B4" s="3" t="s">
        <v>183</v>
      </c>
      <c r="C4" s="7" t="s">
        <v>184</v>
      </c>
    </row>
    <row r="5" ht="27.75" customHeight="1">
      <c r="A5" s="3" t="s">
        <v>187</v>
      </c>
      <c r="B5" s="3" t="s">
        <v>183</v>
      </c>
      <c r="C5" s="7" t="s">
        <v>184</v>
      </c>
    </row>
    <row r="6" ht="27.75" customHeight="1">
      <c r="A6" s="3" t="s">
        <v>188</v>
      </c>
      <c r="B6" s="3" t="s">
        <v>183</v>
      </c>
      <c r="C6" s="7" t="s">
        <v>184</v>
      </c>
    </row>
    <row r="7" ht="27.75" customHeight="1">
      <c r="A7" s="3" t="s">
        <v>189</v>
      </c>
      <c r="B7" s="3" t="s">
        <v>183</v>
      </c>
      <c r="C7" s="7" t="s">
        <v>184</v>
      </c>
    </row>
    <row r="8" ht="27.75" customHeight="1">
      <c r="A8" s="23" t="s">
        <v>190</v>
      </c>
      <c r="B8" s="23" t="s">
        <v>140</v>
      </c>
      <c r="C8" s="24" t="s">
        <v>191</v>
      </c>
    </row>
    <row r="9" ht="27.75" customHeight="1">
      <c r="A9" s="23" t="s">
        <v>192</v>
      </c>
      <c r="B9" s="23" t="s">
        <v>140</v>
      </c>
      <c r="C9" s="24" t="s">
        <v>191</v>
      </c>
    </row>
    <row r="10" ht="27.75" customHeight="1">
      <c r="A10" s="23" t="s">
        <v>193</v>
      </c>
      <c r="B10" s="23" t="s">
        <v>140</v>
      </c>
      <c r="C10" s="24" t="s">
        <v>191</v>
      </c>
    </row>
    <row r="11" ht="27.75" customHeight="1">
      <c r="A11" s="23" t="s">
        <v>194</v>
      </c>
      <c r="B11" s="23" t="s">
        <v>140</v>
      </c>
      <c r="C11" s="24" t="s">
        <v>191</v>
      </c>
    </row>
    <row r="12" ht="27.75" customHeight="1">
      <c r="A12" s="23" t="s">
        <v>195</v>
      </c>
      <c r="B12" s="23" t="s">
        <v>140</v>
      </c>
      <c r="C12" s="24" t="s">
        <v>191</v>
      </c>
    </row>
    <row r="14">
      <c r="A14" s="8" t="s">
        <v>1</v>
      </c>
      <c r="B14" s="8" t="s">
        <v>127</v>
      </c>
      <c r="C14" s="8" t="s">
        <v>135</v>
      </c>
      <c r="D14" s="8" t="s">
        <v>147</v>
      </c>
      <c r="E14" s="8" t="s">
        <v>196</v>
      </c>
    </row>
    <row r="15">
      <c r="A15" s="8" t="s">
        <v>15</v>
      </c>
      <c r="B15" s="9">
        <v>0.9837813485508334</v>
      </c>
      <c r="C15" s="9">
        <v>0.9833803669526138</v>
      </c>
      <c r="D15" s="9">
        <v>5448.572949625999</v>
      </c>
      <c r="E15" s="9">
        <v>5.7012034E7</v>
      </c>
    </row>
    <row r="21" ht="15.75" customHeight="1"/>
    <row r="22" ht="15.75" customHeight="1"/>
    <row r="23" ht="15.75" customHeight="1"/>
    <row r="24" ht="15.75" customHeight="1">
      <c r="A24" s="8" t="s">
        <v>2</v>
      </c>
      <c r="B24" s="8" t="s">
        <v>15</v>
      </c>
      <c r="C24" s="8" t="s">
        <v>83</v>
      </c>
      <c r="D24" s="8" t="s">
        <v>103</v>
      </c>
      <c r="E24" s="8" t="s">
        <v>107</v>
      </c>
      <c r="F24" s="8" t="s">
        <v>113</v>
      </c>
    </row>
    <row r="25" ht="15.75" customHeight="1">
      <c r="A25" s="9">
        <v>1.0</v>
      </c>
      <c r="B25" s="9">
        <v>0.0985646164916455</v>
      </c>
      <c r="C25" s="8" t="s">
        <v>89</v>
      </c>
      <c r="D25" s="8" t="s">
        <v>89</v>
      </c>
      <c r="E25" s="8" t="s">
        <v>89</v>
      </c>
      <c r="F25" s="8" t="s">
        <v>89</v>
      </c>
    </row>
    <row r="26" ht="15.75" customHeight="1">
      <c r="A26" s="9">
        <v>2.0</v>
      </c>
      <c r="B26" s="9">
        <v>0.0627034767694771</v>
      </c>
      <c r="C26" s="8" t="s">
        <v>89</v>
      </c>
      <c r="D26" s="8" t="s">
        <v>89</v>
      </c>
      <c r="E26" s="8" t="s">
        <v>89</v>
      </c>
      <c r="F26" s="8" t="s">
        <v>89</v>
      </c>
    </row>
    <row r="27" ht="15.75" customHeight="1">
      <c r="A27" s="9">
        <v>3.0</v>
      </c>
      <c r="B27" s="9">
        <v>0.0525311738781631</v>
      </c>
      <c r="C27" s="8" t="s">
        <v>89</v>
      </c>
      <c r="D27" s="8" t="s">
        <v>89</v>
      </c>
      <c r="E27" s="8" t="s">
        <v>89</v>
      </c>
      <c r="F27" s="8" t="s">
        <v>89</v>
      </c>
    </row>
    <row r="28" ht="15.75" customHeight="1">
      <c r="A28" s="9">
        <v>4.0</v>
      </c>
      <c r="B28" s="9">
        <v>0.045715232887119</v>
      </c>
      <c r="C28" s="8" t="s">
        <v>89</v>
      </c>
      <c r="D28" s="8" t="s">
        <v>89</v>
      </c>
      <c r="E28" s="8" t="s">
        <v>89</v>
      </c>
      <c r="F28" s="8" t="s">
        <v>89</v>
      </c>
    </row>
    <row r="29" ht="15.75" customHeight="1">
      <c r="A29" s="9">
        <v>5.0</v>
      </c>
      <c r="B29" s="9">
        <v>0.040315610075742</v>
      </c>
      <c r="C29" s="8" t="s">
        <v>89</v>
      </c>
      <c r="D29" s="8" t="s">
        <v>89</v>
      </c>
      <c r="E29" s="8" t="s">
        <v>89</v>
      </c>
      <c r="F29" s="8" t="s">
        <v>89</v>
      </c>
    </row>
    <row r="30" ht="15.75" customHeight="1">
      <c r="A30" s="9">
        <v>6.0</v>
      </c>
      <c r="B30" s="9">
        <v>0.036152634333074</v>
      </c>
      <c r="C30" s="8" t="s">
        <v>89</v>
      </c>
      <c r="D30" s="8" t="s">
        <v>89</v>
      </c>
      <c r="E30" s="8" t="s">
        <v>89</v>
      </c>
      <c r="F30" s="8" t="s">
        <v>89</v>
      </c>
    </row>
    <row r="31" ht="15.75" customHeight="1">
      <c r="A31" s="9">
        <v>7.0</v>
      </c>
      <c r="B31" s="9">
        <v>0.0330130126617848</v>
      </c>
      <c r="C31" s="8" t="s">
        <v>89</v>
      </c>
      <c r="D31" s="8" t="s">
        <v>89</v>
      </c>
      <c r="E31" s="8" t="s">
        <v>89</v>
      </c>
      <c r="F31" s="8" t="s">
        <v>89</v>
      </c>
    </row>
    <row r="32" ht="15.75" customHeight="1">
      <c r="A32" s="9">
        <v>8.0</v>
      </c>
      <c r="B32" s="9">
        <v>0.0302972815312445</v>
      </c>
      <c r="C32" s="8" t="s">
        <v>89</v>
      </c>
      <c r="D32" s="8" t="s">
        <v>89</v>
      </c>
      <c r="E32" s="8" t="s">
        <v>89</v>
      </c>
      <c r="F32" s="8" t="s">
        <v>89</v>
      </c>
    </row>
    <row r="33" ht="15.75" customHeight="1"/>
    <row r="34" ht="15.75" customHeight="1"/>
    <row r="35" ht="15.75" customHeight="1"/>
    <row r="36" ht="15.75" customHeight="1">
      <c r="A36" s="8" t="s">
        <v>2</v>
      </c>
      <c r="B36" s="8" t="s">
        <v>15</v>
      </c>
      <c r="C36" s="8" t="s">
        <v>83</v>
      </c>
      <c r="D36" s="8" t="s">
        <v>103</v>
      </c>
      <c r="E36" s="8" t="s">
        <v>107</v>
      </c>
      <c r="F36" s="8" t="s">
        <v>113</v>
      </c>
    </row>
    <row r="37" ht="15.75" customHeight="1">
      <c r="A37" s="9">
        <v>1.0</v>
      </c>
      <c r="B37" s="9">
        <v>0.0683554212068196</v>
      </c>
      <c r="C37" s="8" t="s">
        <v>89</v>
      </c>
      <c r="D37" s="8" t="s">
        <v>89</v>
      </c>
      <c r="E37" s="8" t="s">
        <v>89</v>
      </c>
      <c r="F37" s="8" t="s">
        <v>89</v>
      </c>
    </row>
    <row r="38" ht="15.75" customHeight="1">
      <c r="A38" s="9">
        <v>2.0</v>
      </c>
      <c r="B38" s="9">
        <v>0.0664028295999406</v>
      </c>
      <c r="C38" s="8" t="s">
        <v>89</v>
      </c>
      <c r="D38" s="8" t="s">
        <v>89</v>
      </c>
      <c r="E38" s="8" t="s">
        <v>89</v>
      </c>
      <c r="F38" s="8" t="s">
        <v>89</v>
      </c>
    </row>
    <row r="39" ht="15.75" customHeight="1">
      <c r="A39" s="9">
        <v>3.0</v>
      </c>
      <c r="B39" s="9">
        <v>0.0514517936526099</v>
      </c>
      <c r="C39" s="8" t="s">
        <v>89</v>
      </c>
      <c r="D39" s="8" t="s">
        <v>89</v>
      </c>
      <c r="E39" s="8" t="s">
        <v>89</v>
      </c>
      <c r="F39" s="8" t="s">
        <v>89</v>
      </c>
    </row>
    <row r="40" ht="15.75" customHeight="1">
      <c r="A40" s="9">
        <v>4.0</v>
      </c>
      <c r="B40" s="9">
        <v>0.0687183348449525</v>
      </c>
      <c r="C40" s="8" t="s">
        <v>89</v>
      </c>
      <c r="D40" s="8" t="s">
        <v>89</v>
      </c>
      <c r="E40" s="8" t="s">
        <v>89</v>
      </c>
      <c r="F40" s="8" t="s">
        <v>89</v>
      </c>
    </row>
    <row r="41" ht="15.75" customHeight="1">
      <c r="A41" s="9">
        <v>5.0</v>
      </c>
      <c r="B41" s="9">
        <v>0.0615820642435937</v>
      </c>
      <c r="C41" s="8" t="s">
        <v>89</v>
      </c>
      <c r="D41" s="8" t="s">
        <v>89</v>
      </c>
      <c r="E41" s="8" t="s">
        <v>89</v>
      </c>
      <c r="F41" s="8" t="s">
        <v>89</v>
      </c>
    </row>
    <row r="42" ht="15.75" customHeight="1">
      <c r="A42" s="9">
        <v>6.0</v>
      </c>
      <c r="B42" s="9">
        <v>0.0553348479002532</v>
      </c>
      <c r="C42" s="8" t="s">
        <v>89</v>
      </c>
      <c r="D42" s="8" t="s">
        <v>89</v>
      </c>
      <c r="E42" s="8" t="s">
        <v>89</v>
      </c>
      <c r="F42" s="8" t="s">
        <v>89</v>
      </c>
    </row>
    <row r="43" ht="15.75" customHeight="1">
      <c r="A43" s="9">
        <v>7.0</v>
      </c>
      <c r="B43" s="9">
        <v>0.0541514457939833</v>
      </c>
      <c r="C43" s="8" t="s">
        <v>89</v>
      </c>
      <c r="D43" s="8" t="s">
        <v>89</v>
      </c>
      <c r="E43" s="8" t="s">
        <v>89</v>
      </c>
      <c r="F43" s="8" t="s">
        <v>89</v>
      </c>
    </row>
    <row r="44" ht="15.75" customHeight="1">
      <c r="A44" s="9">
        <v>8.0</v>
      </c>
      <c r="B44" s="9">
        <v>0.0696009506159637</v>
      </c>
      <c r="C44" s="8" t="s">
        <v>89</v>
      </c>
      <c r="D44" s="8" t="s">
        <v>89</v>
      </c>
      <c r="E44" s="8" t="s">
        <v>89</v>
      </c>
      <c r="F44" s="8" t="s">
        <v>89</v>
      </c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2:B12">
    <cfRule type="containsText" dxfId="5" priority="1" operator="containsText" text="MISMATCH">
      <formula>NOT(ISERROR(SEARCH(("MISMATCH"),(B2))))</formula>
    </cfRule>
  </conditionalFormatting>
  <conditionalFormatting sqref="B2:B12">
    <cfRule type="containsText" dxfId="6" priority="2" operator="containsText" text="NOT">
      <formula>NOT(ISERROR(SEARCH(("NOT"),(B2))))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2" width="20.0"/>
    <col customWidth="1" min="3" max="3" width="30.0"/>
    <col customWidth="1" min="4" max="9" width="20.0"/>
    <col customWidth="1" min="10" max="10" width="21.25"/>
    <col customWidth="1" min="11" max="12" width="20.0"/>
    <col customWidth="1" min="13" max="14" width="30.0"/>
    <col customWidth="1" min="15" max="26" width="8.63"/>
  </cols>
  <sheetData>
    <row r="1" ht="57.75" customHeight="1">
      <c r="A1" s="2" t="s">
        <v>0</v>
      </c>
      <c r="B1" s="2" t="s">
        <v>1</v>
      </c>
      <c r="C1" s="2" t="s">
        <v>157</v>
      </c>
      <c r="D1" s="2" t="s">
        <v>159</v>
      </c>
      <c r="E1" s="2" t="s">
        <v>160</v>
      </c>
      <c r="F1" s="2" t="s">
        <v>161</v>
      </c>
      <c r="G1" s="2" t="s">
        <v>162</v>
      </c>
      <c r="H1" s="2" t="s">
        <v>163</v>
      </c>
      <c r="I1" s="2" t="s">
        <v>164</v>
      </c>
      <c r="J1" s="2" t="s">
        <v>165</v>
      </c>
      <c r="K1" s="2" t="s">
        <v>166</v>
      </c>
      <c r="L1" s="2" t="s">
        <v>167</v>
      </c>
      <c r="M1" s="2" t="s">
        <v>168</v>
      </c>
      <c r="N1" s="2" t="s">
        <v>12</v>
      </c>
    </row>
    <row r="2" ht="27.75" customHeight="1">
      <c r="A2" s="10" t="s">
        <v>13</v>
      </c>
      <c r="B2" s="10" t="s">
        <v>15</v>
      </c>
      <c r="C2" s="14" t="s">
        <v>66</v>
      </c>
      <c r="D2" s="10" t="s">
        <v>169</v>
      </c>
      <c r="E2" s="10" t="s">
        <v>170</v>
      </c>
      <c r="F2" s="10" t="s">
        <v>171</v>
      </c>
      <c r="G2" s="10" t="s">
        <v>172</v>
      </c>
      <c r="H2" s="10" t="s">
        <v>173</v>
      </c>
      <c r="I2" s="20" t="s">
        <v>174</v>
      </c>
      <c r="J2" s="20" t="s">
        <v>22</v>
      </c>
      <c r="K2" s="28" t="s">
        <v>75</v>
      </c>
      <c r="L2" s="10" t="s">
        <v>89</v>
      </c>
      <c r="M2" s="13" t="s">
        <v>175</v>
      </c>
      <c r="N2" s="13" t="s">
        <v>81</v>
      </c>
    </row>
    <row r="3" ht="27.75" customHeight="1">
      <c r="A3" s="18" t="s">
        <v>13</v>
      </c>
      <c r="B3" s="18" t="s">
        <v>83</v>
      </c>
      <c r="C3" s="21" t="s">
        <v>94</v>
      </c>
      <c r="D3" s="18"/>
      <c r="E3" s="18"/>
      <c r="F3" s="18" t="s">
        <v>171</v>
      </c>
      <c r="G3" s="18"/>
      <c r="H3" s="18"/>
      <c r="I3" s="26" t="s">
        <v>176</v>
      </c>
      <c r="J3" s="26" t="s">
        <v>140</v>
      </c>
      <c r="K3" s="18"/>
      <c r="L3" s="18"/>
      <c r="M3" s="22" t="s">
        <v>178</v>
      </c>
      <c r="N3" s="22" t="s">
        <v>102</v>
      </c>
    </row>
    <row r="4" ht="27.75" customHeight="1">
      <c r="A4" s="18" t="s">
        <v>13</v>
      </c>
      <c r="B4" s="18" t="s">
        <v>103</v>
      </c>
      <c r="C4" s="21" t="s">
        <v>105</v>
      </c>
      <c r="D4" s="18"/>
      <c r="E4" s="18"/>
      <c r="F4" s="18" t="s">
        <v>171</v>
      </c>
      <c r="G4" s="18"/>
      <c r="H4" s="18"/>
      <c r="I4" s="26" t="s">
        <v>176</v>
      </c>
      <c r="J4" s="26" t="s">
        <v>140</v>
      </c>
      <c r="K4" s="18"/>
      <c r="L4" s="18"/>
      <c r="M4" s="22" t="s">
        <v>178</v>
      </c>
      <c r="N4" s="22" t="s">
        <v>106</v>
      </c>
    </row>
    <row r="5" ht="27.75" customHeight="1">
      <c r="A5" s="18" t="s">
        <v>13</v>
      </c>
      <c r="B5" s="18" t="s">
        <v>107</v>
      </c>
      <c r="C5" s="21" t="s">
        <v>111</v>
      </c>
      <c r="D5" s="18"/>
      <c r="E5" s="18"/>
      <c r="F5" s="18" t="s">
        <v>171</v>
      </c>
      <c r="G5" s="18"/>
      <c r="H5" s="18"/>
      <c r="I5" s="26" t="s">
        <v>176</v>
      </c>
      <c r="J5" s="26" t="s">
        <v>140</v>
      </c>
      <c r="K5" s="18"/>
      <c r="L5" s="18"/>
      <c r="M5" s="22" t="s">
        <v>178</v>
      </c>
      <c r="N5" s="22" t="s">
        <v>112</v>
      </c>
    </row>
    <row r="6" ht="27.75" customHeight="1">
      <c r="A6" s="18" t="s">
        <v>13</v>
      </c>
      <c r="B6" s="18" t="s">
        <v>113</v>
      </c>
      <c r="C6" s="21" t="s">
        <v>116</v>
      </c>
      <c r="D6" s="18"/>
      <c r="E6" s="18"/>
      <c r="F6" s="18" t="s">
        <v>171</v>
      </c>
      <c r="G6" s="18"/>
      <c r="H6" s="18"/>
      <c r="I6" s="26" t="s">
        <v>176</v>
      </c>
      <c r="J6" s="26" t="s">
        <v>140</v>
      </c>
      <c r="K6" s="18"/>
      <c r="L6" s="18"/>
      <c r="M6" s="22" t="s">
        <v>178</v>
      </c>
      <c r="N6" s="22" t="s">
        <v>117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I2:I6">
    <cfRule type="containsText" dxfId="5" priority="1" operator="containsText" text="MISMATCH">
      <formula>NOT(ISERROR(SEARCH(("MISMATCH"),(I2))))</formula>
    </cfRule>
  </conditionalFormatting>
  <conditionalFormatting sqref="I2:I6">
    <cfRule type="containsText" dxfId="6" priority="2" operator="containsText" text="NOT">
      <formula>NOT(ISERROR(SEARCH(("NOT"),(I2))))</formula>
    </cfRule>
  </conditionalFormatting>
  <conditionalFormatting sqref="J2:J6">
    <cfRule type="containsText" dxfId="5" priority="3" operator="containsText" text="MISMATCH">
      <formula>NOT(ISERROR(SEARCH(("MISMATCH"),(J2))))</formula>
    </cfRule>
  </conditionalFormatting>
  <conditionalFormatting sqref="J2:J6">
    <cfRule type="containsText" dxfId="6" priority="4" operator="containsText" text="NOT">
      <formula>NOT(ISERROR(SEARCH(("NOT"),(J2))))</formula>
    </cfRule>
  </conditionalFormatting>
  <dataValidations>
    <dataValidation type="list" allowBlank="1" sqref="I2:I6">
      <formula1>"PREPARED,READY TO TRAIN,RUNNING,TRAINED,EVALUATED,FAILED,BLOCKED"</formula1>
    </dataValidation>
    <dataValidation type="list" allowBlank="1" sqref="J2:J6">
      <formula1>"NOT EVALUATED,EVALUATED"</formula1>
    </dataValidation>
  </dataValidations>
  <hyperlinks>
    <hyperlink r:id="rId1" ref="C2"/>
    <hyperlink r:id="rId2" ref="K2"/>
    <hyperlink r:id="rId3" ref="C3"/>
    <hyperlink r:id="rId4" ref="C4"/>
    <hyperlink r:id="rId5" ref="C5"/>
    <hyperlink r:id="rId6" ref="C6"/>
  </hyperlinks>
  <printOptions/>
  <pageMargins bottom="0.75" footer="0.0" header="0.0" left="0.7" right="0.7" top="0.75"/>
  <pageSetup orientation="landscape"/>
  <drawing r:id="rId7"/>
  <tableParts count="1">
    <tablePart r:id="rId9"/>
  </tableParts>
</worksheet>
</file>