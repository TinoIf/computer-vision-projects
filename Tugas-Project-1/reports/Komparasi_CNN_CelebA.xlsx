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mparasi" sheetId="1" r:id="rId5"/>
    <sheet state="visible" name="Hasil test" sheetId="2" r:id="rId6"/>
    <sheet state="visible" name="Confusion matrix" sheetId="3" r:id="rId7"/>
    <sheet state="visible" name="Training" sheetId="4" r:id="rId8"/>
    <sheet state="visible" name="Dataset dan konfigurasi" sheetId="5" r:id="rId9"/>
    <sheet state="visible" name="Environment dan sumber" sheetId="6" r:id="rId10"/>
    <sheet state="visible" name="Prediksi" sheetId="7" r:id="rId11"/>
  </sheets>
  <definedNames/>
  <calcPr/>
</workbook>
</file>

<file path=xl/sharedStrings.xml><?xml version="1.0" encoding="utf-8"?>
<sst xmlns="http://schemas.openxmlformats.org/spreadsheetml/2006/main" count="450" uniqueCount="227">
  <si>
    <t>Komparasi CNN untuk label CelebA</t>
  </si>
  <si>
    <t>Hasil tersimpan 13 Oktober 2026. Test 5.000 gambar. Checkpoint terbaik berdasarkan akurasi validasi.</t>
  </si>
  <si>
    <t>Model</t>
  </si>
  <si>
    <t>Akurasi test</t>
  </si>
  <si>
    <t>F1 macro</t>
  </si>
  <si>
    <t>Best val acc</t>
  </si>
  <si>
    <t>Training (menit)</t>
  </si>
  <si>
    <t>Parameter (juta)</t>
  </si>
  <si>
    <t>Salah (gambar)</t>
  </si>
  <si>
    <t>Peringkat test</t>
  </si>
  <si>
    <t>AlexNet</t>
  </si>
  <si>
    <t>VGG16</t>
  </si>
  <si>
    <t>VGG19</t>
  </si>
  <si>
    <t>GoogLeNet</t>
  </si>
  <si>
    <t>ResNet18</t>
  </si>
  <si>
    <t>VGG16 unggul pada akurasi test dan F1 macro dalam run ini. Selisih dengan VGG19: 0,10 poin persentase (5 gambar).</t>
  </si>
  <si>
    <t>ResNet18 memberi akurasi 98,18% dengan 14,5 menit training. GoogLeNet memakai parameter paling sedikit (5,6 juta).</t>
  </si>
  <si>
    <t>Waktu mencakup loop train, validasi, dan penyimpanan checkpoint. Satu run per model. Latensi inference tidak diukur.</t>
  </si>
  <si>
    <t>Hasil evaluasi tersimpan</t>
  </si>
  <si>
    <t>Angka classification report mengikuti pembulatan 4 desimal pada output. Parameter mengikuti pembulatan 0,1 juta.</t>
  </si>
  <si>
    <t>Test accuracy</t>
  </si>
  <si>
    <t>Macro precision</t>
  </si>
  <si>
    <t>Macro recall</t>
  </si>
  <si>
    <t>Macro F1</t>
  </si>
  <si>
    <t>Weighted F1</t>
  </si>
  <si>
    <t>Sumber</t>
  </si>
  <si>
    <t>https://colab.research.google.com/drive/1Ib9G7oVkuvfz-2JxGhLgJBMuTIwrjogN — cell 11, 13, 17</t>
  </si>
  <si>
    <t>https://colab.research.google.com/drive/1XjDx6bdY8It4jygzTAFk6oT9RBtX3C9q — cell 11, 13, 17</t>
  </si>
  <si>
    <t>https://colab.research.google.com/drive/1yAb2r57zYJVo4uRP2FO0vYsnHH5AcVPi — cell 11, 13, 17</t>
  </si>
  <si>
    <t>https://colab.research.google.com/drive/1w8Wox2YkUKJJSSYrIeal-wBHTt1OCPWz — cell 11, 13, 17</t>
  </si>
  <si>
    <t>https://colab.research.google.com/drive/1vDaOCwMWGAordE_1_7yaSYVZ59poexS5 — cell 11, 13, 17</t>
  </si>
  <si>
    <t>Kelas / agregasi</t>
  </si>
  <si>
    <t>Precision</t>
  </si>
  <si>
    <t>Recall</t>
  </si>
  <si>
    <t>F1-score</t>
  </si>
  <si>
    <t>Support</t>
  </si>
  <si>
    <t>Female</t>
  </si>
  <si>
    <t>https://colab.research.google.com/drive/1Ib9G7oVkuvfz-2JxGhLgJBMuTIwrjogN — cell 17</t>
  </si>
  <si>
    <t>Male</t>
  </si>
  <si>
    <t>macro avg</t>
  </si>
  <si>
    <t>weighted avg</t>
  </si>
  <si>
    <t>https://colab.research.google.com/drive/1XjDx6bdY8It4jygzTAFk6oT9RBtX3C9q — cell 17</t>
  </si>
  <si>
    <t>https://colab.research.google.com/drive/1yAb2r57zYJVo4uRP2FO0vYsnHH5AcVPi — cell 17</t>
  </si>
  <si>
    <t>https://colab.research.google.com/drive/1w8Wox2YkUKJJSSYrIeal-wBHTt1OCPWz — cell 17</t>
  </si>
  <si>
    <t>https://colab.research.google.com/drive/1vDaOCwMWGAordE_1_7yaSYVZ59poexS5 — cell 17</t>
  </si>
  <si>
    <t>Confusion matrix dan rekonsiliasi</t>
  </si>
  <si>
    <t>Male = kelas positif. Baris aktual, kolom prediksi. TN=Female/Female, FP=Female/Male, FN=Male/Female, TP=Male/Male.</t>
  </si>
  <si>
    <t>TN</t>
  </si>
  <si>
    <t>FP</t>
  </si>
  <si>
    <t>FN</t>
  </si>
  <si>
    <t>TP</t>
  </si>
  <si>
    <t>Total test</t>
  </si>
  <si>
    <t>Benar</t>
  </si>
  <si>
    <t>Salah</t>
  </si>
  <si>
    <t>Akurasi CM</t>
  </si>
  <si>
    <t>https://colab.research.google.com/drive/1Ib9G7oVkuvfz-2JxGhLgJBMuTIwrjogN — cell 17, heatmap</t>
  </si>
  <si>
    <t>https://colab.research.google.com/drive/1XjDx6bdY8It4jygzTAFk6oT9RBtX3C9q — cell 17, heatmap</t>
  </si>
  <si>
    <t>https://colab.research.google.com/drive/1yAb2r57zYJVo4uRP2FO0vYsnHH5AcVPi — cell 17, heatmap</t>
  </si>
  <si>
    <t>https://colab.research.google.com/drive/1w8Wox2YkUKJJSSYrIeal-wBHTt1OCPWz — cell 17, heatmap</t>
  </si>
  <si>
    <t>https://colab.research.google.com/drive/1vDaOCwMWGAordE_1_7yaSYVZ59poexS5 — cell 17, heatmap</t>
  </si>
  <si>
    <t>Semua matriks berjumlah 5.000. Support: Female 2.893 dan Male 2.107. Akurasi CM sesuai Test Accuracy di notebook.</t>
  </si>
  <si>
    <t>Epoch</t>
  </si>
  <si>
    <t>Train loss</t>
  </si>
  <si>
    <t>Train accuracy</t>
  </si>
  <si>
    <t>Val loss</t>
  </si>
  <si>
    <t>Val accuracy</t>
  </si>
  <si>
    <t>Durasi (detik)</t>
  </si>
  <si>
    <t>https://colab.research.google.com/drive/1Ib9G7oVkuvfz-2JxGhLgJBMuTIwrjogN — cell 13</t>
  </si>
  <si>
    <t>https://colab.research.google.com/drive/1XjDx6bdY8It4jygzTAFk6oT9RBtX3C9q — cell 13</t>
  </si>
  <si>
    <t>https://colab.research.google.com/drive/1yAb2r57zYJVo4uRP2FO0vYsnHH5AcVPi — cell 13</t>
  </si>
  <si>
    <t>https://colab.research.google.com/drive/1w8Wox2YkUKJJSSYrIeal-wBHTt1OCPWz — cell 13</t>
  </si>
  <si>
    <t>https://colab.research.google.com/drive/1vDaOCwMWGAordE_1_7yaSYVZ59poexS5 — cell 13</t>
  </si>
  <si>
    <t>Dataset dan konfigurasi bersama</t>
  </si>
  <si>
    <t>Kode setup, sampling, transformasi, dan training sama pada lima notebook. MODEL_NAME berbeda.</t>
  </si>
  <si>
    <t>Komponen</t>
  </si>
  <si>
    <t>Nilai / pengaturan</t>
  </si>
  <si>
    <t>Makna / bukti</t>
  </si>
  <si>
    <t>Sumber dataset</t>
  </si>
  <si>
    <t>Kaggle Gender Classification 200K Images | CelebA</t>
  </si>
  <si>
    <t>Kode download, cell 4</t>
  </si>
  <si>
    <t>https://www.kaggle.com/datasets/ashishjangra27/gender-recognition-200k-images-celeba</t>
  </si>
  <si>
    <t>Dataset asal CelebA</t>
  </si>
  <si>
    <t>Total gambar dataset asal, bukan jumlah training eksperimen</t>
  </si>
  <si>
    <t>https://mmlab.ie.cuhk.edu.hk/projects/CelebA.html</t>
  </si>
  <si>
    <t>Identitas dataset asal</t>
  </si>
  <si>
    <t>40 atribut biner dan 5 titik landmark pada dataset asal</t>
  </si>
  <si>
    <t>Jumlah kelas eksperimen</t>
  </si>
  <si>
    <t>Female=0, Male=1</t>
  </si>
  <si>
    <t>https://colab.research.google.com/drive/1yAb2r57zYJVo4uRP2FO0vYsnHH5AcVPi — cell 8</t>
  </si>
  <si>
    <t>Train digunakan</t>
  </si>
  <si>
    <t>Subset folder Train</t>
  </si>
  <si>
    <t>Validasi digunakan</t>
  </si>
  <si>
    <t>Subset folder Validation untuk memilih checkpoint</t>
  </si>
  <si>
    <t>Test digunakan</t>
  </si>
  <si>
    <t>Subset folder Test untuk evaluasi akhir</t>
  </si>
  <si>
    <t>Total digunakan</t>
  </si>
  <si>
    <t>Jumlah tiga subset, bukan seluruh dataset asal</t>
  </si>
  <si>
    <t>Female pada test</t>
  </si>
  <si>
    <t>Support classification report</t>
  </si>
  <si>
    <t>Male pada test</t>
  </si>
  <si>
    <t>Persentase Female test</t>
  </si>
  <si>
    <t>Distribusi test, train/val per kelas tidak tercatat</t>
  </si>
  <si>
    <t>Sampling</t>
  </si>
  <si>
    <t>RandomState(42).choice, replace=False</t>
  </si>
  <si>
    <t>Acak terpisah per split, bukan stratified sampling</t>
  </si>
  <si>
    <t>Seluruh model selesai 8 epoch</t>
  </si>
  <si>
    <t>https://colab.research.google.com/drive/1yAb2r57zYJVo4uRP2FO0vYsnHH5AcVPi — cell 6, 13</t>
  </si>
  <si>
    <t>Batch size</t>
  </si>
  <si>
    <t>Train shuffle=True, val/test shuffle=False</t>
  </si>
  <si>
    <t>https://colab.research.google.com/drive/1yAb2r57zYJVo4uRP2FO0vYsnHH5AcVPi — cell 6, 8</t>
  </si>
  <si>
    <t>Learning rate</t>
  </si>
  <si>
    <t>Adam. Tidak ada scheduler pada loop training</t>
  </si>
  <si>
    <t>https://colab.research.google.com/drive/1yAb2r57zYJVo4uRP2FO0vYsnHH5AcVPi — cell 6, 11, 13</t>
  </si>
  <si>
    <t>Seed</t>
  </si>
  <si>
    <t>Python, NumPy, torch, dan CUDA</t>
  </si>
  <si>
    <t>https://colab.research.google.com/drive/1yAb2r57zYJVo4uRP2FO0vYsnHH5AcVPi — cell 6</t>
  </si>
  <si>
    <t>Input</t>
  </si>
  <si>
    <t>RGB, 224 × 224 piksel</t>
  </si>
  <si>
    <t>Resize langsung, tanpa center crop</t>
  </si>
  <si>
    <t>Workers</t>
  </si>
  <si>
    <t>DataLoader pin_memory=True</t>
  </si>
  <si>
    <t>Bobot awal</t>
  </si>
  <si>
    <t>IMAGENET1K_V1</t>
  </si>
  <si>
    <t>Pretrained masing-masing model, seluruh parameter dilatih</t>
  </si>
  <si>
    <t>https://colab.research.google.com/drive/1yAb2r57zYJVo4uRP2FO0vYsnHH5AcVPi — cell 11</t>
  </si>
  <si>
    <t>Loss</t>
  </si>
  <si>
    <t>CrossEntropyLoss</t>
  </si>
  <si>
    <t>Dua logits, label integer</t>
  </si>
  <si>
    <t>Optimizer</t>
  </si>
  <si>
    <t>Adam(model.parameters(), lr=LR)</t>
  </si>
  <si>
    <t>Parameter Adam lain memakai default library</t>
  </si>
  <si>
    <t>Mixed precision</t>
  </si>
  <si>
    <t>autocast + torch.amp.GradScaler</t>
  </si>
  <si>
    <t>Aktif saat device CUDA</t>
  </si>
  <si>
    <t>https://colab.research.google.com/drive/1yAb2r57zYJVo4uRP2FO0vYsnHH5AcVPi — cell 11, 13</t>
  </si>
  <si>
    <t>Train augmentation</t>
  </si>
  <si>
    <t>Flip horizontal, rotasi ±10°, ColorJitter 0,2</t>
  </si>
  <si>
    <t>Brightness=0,2 dan contrast=0,2</t>
  </si>
  <si>
    <t>Normalisasi mean</t>
  </si>
  <si>
    <t>[0.485, 0.456, 0.406]</t>
  </si>
  <si>
    <t>Statistik ImageNet</t>
  </si>
  <si>
    <t>Normalisasi std</t>
  </si>
  <si>
    <t>[0.229, 0.224, 0.225]</t>
  </si>
  <si>
    <t>Validasi / test transform</t>
  </si>
  <si>
    <t>Resize, ToTensor, Normalize</t>
  </si>
  <si>
    <t>Tanpa augmentasi acak</t>
  </si>
  <si>
    <t>Pemilihan checkpoint</t>
  </si>
  <si>
    <t>Akurasi validasi tertinggi</t>
  </si>
  <si>
    <t>Update hanya jika va_acc &gt; best_val_acc</t>
  </si>
  <si>
    <t>Evaluasi test</t>
  </si>
  <si>
    <t>Checkpoint terbaik dari validasi</t>
  </si>
  <si>
    <t>Bukan otomatis bobot epoch ke-8</t>
  </si>
  <si>
    <t>Prediksi gambar</t>
  </si>
  <si>
    <t>Softmax dan argmax</t>
  </si>
  <si>
    <t>Nilai tampil satu desimal persen</t>
  </si>
  <si>
    <t>https://colab.research.google.com/drive/1yAb2r57zYJVo4uRP2FO0vYsnHH5AcVPi — cell 21</t>
  </si>
  <si>
    <t>Early stopping</t>
  </si>
  <si>
    <t>Tidak digunakan</t>
  </si>
  <si>
    <t>Training tetap 8 epoch</t>
  </si>
  <si>
    <t>Environment dan sumber bukti</t>
  </si>
  <si>
    <t>Laporan mengikuti output yang tersimpan. Versi runtime yang tidak dicetak tidak diisi dengan versi perkiraan.</t>
  </si>
  <si>
    <t>Platform</t>
  </si>
  <si>
    <t>Device / GPU</t>
  </si>
  <si>
    <t>Framework</t>
  </si>
  <si>
    <t>Versi library / CUDA</t>
  </si>
  <si>
    <t>Status output</t>
  </si>
  <si>
    <t>Notebook</t>
  </si>
  <si>
    <t>Google Colab</t>
  </si>
  <si>
    <t>cuda / Tesla T4</t>
  </si>
  <si>
    <t>PyTorch + torchvision</t>
  </si>
  <si>
    <t>Tidak tercatat lengkap dalam output</t>
  </si>
  <si>
    <t>8 epoch, test, CM lengkap; inference NameError</t>
  </si>
  <si>
    <t>https://colab.research.google.com/drive/1Ib9G7oVkuvfz-2JxGhLgJBMuTIwrjogN</t>
  </si>
  <si>
    <t>8 epoch, test, CM lengkap</t>
  </si>
  <si>
    <t>https://colab.research.google.com/drive/1XjDx6bdY8It4jygzTAFk6oT9RBtX3C9q</t>
  </si>
  <si>
    <t>https://colab.research.google.com/drive/1yAb2r57zYJVo4uRP2FO0vYsnHH5AcVPi</t>
  </si>
  <si>
    <t>https://colab.research.google.com/drive/1w8Wox2YkUKJJSSYrIeal-wBHTt1OCPWz</t>
  </si>
  <si>
    <t>https://colab.research.google.com/drive/1vDaOCwMWGAordE_1_7yaSYVZ59poexS5</t>
  </si>
  <si>
    <t>Informasi</t>
  </si>
  <si>
    <t>Keterangan</t>
  </si>
  <si>
    <t>Library evaluasi</t>
  </si>
  <si>
    <t>scikit-learn confusion_matrix dan classification_report</t>
  </si>
  <si>
    <t>Visualisasi</t>
  </si>
  <si>
    <t>Matplotlib dan seaborn</t>
  </si>
  <si>
    <t>CPU / RAM / driver</t>
  </si>
  <si>
    <t>Tidak dicetak di output sumber</t>
  </si>
  <si>
    <t>Python dan torch / torchvision</t>
  </si>
  <si>
    <t>Versi tepat tidak dicetak sebagai ringkasan environment</t>
  </si>
  <si>
    <t>Waktu training</t>
  </si>
  <si>
    <t>Timer dari sebelum loop epoch sampai akhir loop. Meliputi validasi dan save checkpoint</t>
  </si>
  <si>
    <t>Kesetaraan subset</t>
  </si>
  <si>
    <t>Kode sampling dan seed identik. Daftar indeks/file subset tidak diekspor di notebook</t>
  </si>
  <si>
    <t>Ketelitian output</t>
  </si>
  <si>
    <t>Log akurasi/loss 4 desimal. Parameter 0,1 juta. Training 0,1 menit</t>
  </si>
  <si>
    <t>Pembatasan komparasi</t>
  </si>
  <si>
    <t>Satu run per model, belum ada rata-rata beberapa seed atau interval ketidakpastian</t>
  </si>
  <si>
    <t>Distribusi train / val per label</t>
  </si>
  <si>
    <t>Tidak tercatat. Jangan menganggap masing-masing kelas seimbang</t>
  </si>
  <si>
    <t>Arti label</t>
  </si>
  <si>
    <t>Model memprediksi label Female/Male yang tersedia pada dataset</t>
  </si>
  <si>
    <t>AlexNet inference</t>
  </si>
  <si>
    <t>Cell terakhir memuat NameError: model is not defined. Hasil test sebelumnya tetap tersimpan</t>
  </si>
  <si>
    <t>Contoh inference</t>
  </si>
  <si>
    <t>Gambar unggahan terpisah. Label acuan tidak dicatat. Skor softmax bukan ukuran akurasi test</t>
  </si>
  <si>
    <t>Tanggal pembacaan</t>
  </si>
  <si>
    <t>13 Oktober 2026. Kode dan output sumber hanya dibaca</t>
  </si>
  <si>
    <t>Contoh prediksi gambar unggahan</t>
  </si>
  <si>
    <t>Nilai probabilitas mengikuti pembulatan output. 100,0% bukan jaminan benar. Label acuan gambar tidak dicatat.</t>
  </si>
  <si>
    <t>Nama file</t>
  </si>
  <si>
    <t>Prediksi</t>
  </si>
  <si>
    <t>P(Female)</t>
  </si>
  <si>
    <t>P(Male)</t>
  </si>
  <si>
    <t>Label acuan</t>
  </si>
  <si>
    <t>Status</t>
  </si>
  <si>
    <t>Tidak tersedia</t>
  </si>
  <si>
    <t>Tidak dicatat</t>
  </si>
  <si>
    <t>NameError pada cell terakhir</t>
  </si>
  <si>
    <t>https://colab.research.google.com/drive/1Ib9G7oVkuvfz-2JxGhLgJBMuTIwrjogN — cell 21</t>
  </si>
  <si>
    <t>Raisya.jpeg</t>
  </si>
  <si>
    <t>https://colab.research.google.com/drive/1XjDx6bdY8It4jygzTAFk6oT9RBtX3C9q — cell 21</t>
  </si>
  <si>
    <t>raisa.jpg</t>
  </si>
  <si>
    <t>https://colab.research.google.com/drive/1w8Wox2YkUKJJSSYrIeal-wBHTt1OCPWz — cell 21</t>
  </si>
  <si>
    <t>https://colab.research.google.com/drive/1vDaOCwMWGAordE_1_7yaSYVZ59poexS5 — cell 21</t>
  </si>
  <si>
    <t>VGG16 — Raisya.jpeg</t>
  </si>
  <si>
    <t>VGG19 — raisa.jpg</t>
  </si>
  <si>
    <t>GoogLeNet — Raisya.jpeg</t>
  </si>
  <si>
    <t>ResNet18 — raisa.jpg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</si>
</sst>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"/>
    <numFmt numFmtId="166" formatCode="0.0%"/>
  </numFmts>
  <fonts count="5">
    <font>
      <sz val="11.0"/>
      <color rgb="FF000000"/>
      <name val="Carlito"/>
      <scheme val="minor"/>
    </font>
    <font>
      <b/>
      <sz val="16.0"/>
      <color rgb="FF111111"/>
      <name val="Arial"/>
    </font>
    <font>
      <sz val="11.0"/>
      <color rgb="FF111111"/>
      <name val="Arial"/>
    </font>
    <font>
      <i/>
      <sz val="11.0"/>
      <color rgb="FF111111"/>
      <name val="Arial"/>
    </font>
    <font>
      <b/>
      <sz val="11.0"/>
      <color rgb="FF11111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shrinkToFit="0" vertical="center" wrapText="1"/>
    </xf>
    <xf borderId="0" fillId="0" fontId="2" numFmtId="10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65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2" numFmtId="10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0" fontId="2" numFmtId="166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  <a:r>
              <a:rPr b="0" sz="1200">
                <a:solidFill>
                  <a:srgbClr val="000000"/>
                </a:solidFill>
                <a:latin typeface="Arial"/>
              </a:rPr>
              <a:t>Akurasi test (skala 0–100%)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Komparasi!$B$4</c:f>
            </c:strRef>
          </c:tx>
          <c:spPr>
            <a:solidFill>
              <a:srgbClr val="2462EB"/>
            </a:solidFill>
            <a:ln cmpd="sng">
              <a:noFill/>
            </a:ln>
          </c:spPr>
          <c:invertIfNegative val="0"/>
          <c:cat>
            <c:strRef>
              <c:f>Komparasi!$A$5:$A$9</c:f>
            </c:strRef>
          </c:cat>
          <c:val>
            <c:numRef>
              <c:f>Komparasi!$B$5:$B$9</c:f>
              <c:numCache/>
            </c:numRef>
          </c:val>
        </c:ser>
        <c:axId val="1979298454"/>
        <c:axId val="1342432453"/>
      </c:barChart>
      <c:catAx>
        <c:axId val="1979298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42432453"/>
      </c:catAx>
      <c:valAx>
        <c:axId val="1342432453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Akurasi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7929845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  <a:r>
              <a:rPr b="0" sz="1200">
                <a:solidFill>
                  <a:srgbClr val="000000"/>
                </a:solidFill>
                <a:latin typeface="Arial"/>
              </a:rPr>
              <a:t>Durasi training (menit)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Komparasi!$E$4</c:f>
            </c:strRef>
          </c:tx>
          <c:spPr>
            <a:solidFill>
              <a:srgbClr val="2462EB"/>
            </a:solidFill>
            <a:ln cmpd="sng">
              <a:noFill/>
            </a:ln>
          </c:spPr>
          <c:invertIfNegative val="0"/>
          <c:cat>
            <c:strRef>
              <c:f>Komparasi!$A$5:$A$9</c:f>
            </c:strRef>
          </c:cat>
          <c:val>
            <c:numRef>
              <c:f>Komparasi!$E$5:$E$9</c:f>
              <c:numCache/>
            </c:numRef>
          </c:val>
        </c:ser>
        <c:axId val="503085157"/>
        <c:axId val="184009968"/>
      </c:barChart>
      <c:catAx>
        <c:axId val="503085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4009968"/>
      </c:catAx>
      <c:valAx>
        <c:axId val="184009968"/>
        <c:scaling>
          <c:orientation val="minMax"/>
          <c:max val="35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Menit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0308515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5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0</xdr:rowOff>
    </xdr:from>
    <xdr:ext cx="5372100" cy="5181600"/>
    <xdr:graphicFrame>
      <xdr:nvGraphicFramePr>
        <xdr:cNvPr id="1" name="Chart 1" title="Akurasi test (skala 0–100%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15</xdr:row>
      <xdr:rowOff>0</xdr:rowOff>
    </xdr:from>
    <xdr:ext cx="6191250" cy="3810000"/>
    <xdr:graphicFrame>
      <xdr:nvGraphicFramePr>
        <xdr:cNvPr id="2" name="Chart 2" title="Durasi training (meni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0</xdr:rowOff>
    </xdr:from>
    <xdr:ext cx="4552950" cy="37719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552950" cy="37719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4552950" cy="37719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4552950" cy="3771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4552950" cy="37719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3143250" cy="27527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143250" cy="2752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3143250" cy="27527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3143250" cy="27527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6" width="13.88"/>
    <col customWidth="1" min="7" max="7" width="12.75"/>
    <col customWidth="1" min="8" max="8" width="10.5"/>
    <col customWidth="1" min="9" max="26" width="8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</row>
    <row r="2" ht="25.5" customHeight="1">
      <c r="A2" s="3" t="s">
        <v>1</v>
      </c>
      <c r="B2" s="2"/>
      <c r="C2" s="2"/>
      <c r="D2" s="2"/>
      <c r="E2" s="2"/>
      <c r="F2" s="2"/>
      <c r="G2" s="2"/>
      <c r="H2" s="2"/>
    </row>
    <row r="3" ht="25.5" customHeight="1">
      <c r="A3" s="2"/>
      <c r="B3" s="2"/>
      <c r="C3" s="2"/>
      <c r="D3" s="2"/>
      <c r="E3" s="2"/>
      <c r="F3" s="2"/>
      <c r="G3" s="2"/>
      <c r="H3" s="2"/>
    </row>
    <row r="4" ht="42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ht="25.5" customHeight="1">
      <c r="A5" s="2" t="s">
        <v>10</v>
      </c>
      <c r="B5" s="5">
        <f>'Hasil test'!B5</f>
        <v>0.9736</v>
      </c>
      <c r="C5" s="5">
        <f>'Hasil test'!H5</f>
        <v>0.9729</v>
      </c>
      <c r="D5" s="5">
        <f>'Hasil test'!C5</f>
        <v>0.9708</v>
      </c>
      <c r="E5" s="6">
        <f>'Hasil test'!D5</f>
        <v>13</v>
      </c>
      <c r="F5" s="6">
        <f>'Hasil test'!E5</f>
        <v>57</v>
      </c>
      <c r="G5" s="2">
        <f>'Confusion matrix'!H5</f>
        <v>132</v>
      </c>
      <c r="H5" s="2">
        <f t="shared" ref="H5:H9" si="1">RANK(B5,$B$5:$B$9,0)</f>
        <v>5</v>
      </c>
    </row>
    <row r="6" ht="25.5" customHeight="1">
      <c r="A6" s="2" t="s">
        <v>11</v>
      </c>
      <c r="B6" s="5">
        <f>'Hasil test'!B6</f>
        <v>0.9852</v>
      </c>
      <c r="C6" s="5">
        <f>'Hasil test'!H6</f>
        <v>0.9848</v>
      </c>
      <c r="D6" s="5">
        <f>'Hasil test'!C6</f>
        <v>0.9846</v>
      </c>
      <c r="E6" s="6">
        <f>'Hasil test'!D6</f>
        <v>25.7</v>
      </c>
      <c r="F6" s="6">
        <f>'Hasil test'!E6</f>
        <v>134.3</v>
      </c>
      <c r="G6" s="2">
        <f>'Confusion matrix'!H6</f>
        <v>74</v>
      </c>
      <c r="H6" s="2">
        <f t="shared" si="1"/>
        <v>1</v>
      </c>
    </row>
    <row r="7" ht="25.5" customHeight="1">
      <c r="A7" s="2" t="s">
        <v>12</v>
      </c>
      <c r="B7" s="5">
        <f>'Hasil test'!B7</f>
        <v>0.9842</v>
      </c>
      <c r="C7" s="5">
        <f>'Hasil test'!H7</f>
        <v>0.9838</v>
      </c>
      <c r="D7" s="5">
        <f>'Hasil test'!C7</f>
        <v>0.983</v>
      </c>
      <c r="E7" s="6">
        <f>'Hasil test'!D7</f>
        <v>30</v>
      </c>
      <c r="F7" s="6">
        <f>'Hasil test'!E7</f>
        <v>139.6</v>
      </c>
      <c r="G7" s="2">
        <f>'Confusion matrix'!H7</f>
        <v>79</v>
      </c>
      <c r="H7" s="2">
        <f t="shared" si="1"/>
        <v>2</v>
      </c>
    </row>
    <row r="8" ht="25.5" customHeight="1">
      <c r="A8" s="2" t="s">
        <v>13</v>
      </c>
      <c r="B8" s="5">
        <f>'Hasil test'!B8</f>
        <v>0.9794</v>
      </c>
      <c r="C8" s="5">
        <f>'Hasil test'!H8</f>
        <v>0.9789</v>
      </c>
      <c r="D8" s="5">
        <f>'Hasil test'!C8</f>
        <v>0.9806</v>
      </c>
      <c r="E8" s="6">
        <f>'Hasil test'!D8</f>
        <v>15.3</v>
      </c>
      <c r="F8" s="6">
        <f>'Hasil test'!E8</f>
        <v>5.6</v>
      </c>
      <c r="G8" s="2">
        <f>'Confusion matrix'!H8</f>
        <v>103</v>
      </c>
      <c r="H8" s="2">
        <f t="shared" si="1"/>
        <v>4</v>
      </c>
    </row>
    <row r="9" ht="25.5" customHeight="1">
      <c r="A9" s="2" t="s">
        <v>14</v>
      </c>
      <c r="B9" s="5">
        <f>'Hasil test'!B9</f>
        <v>0.9818</v>
      </c>
      <c r="C9" s="5">
        <f>'Hasil test'!H9</f>
        <v>0.9813</v>
      </c>
      <c r="D9" s="5">
        <f>'Hasil test'!C9</f>
        <v>0.981</v>
      </c>
      <c r="E9" s="6">
        <f>'Hasil test'!D9</f>
        <v>14.5</v>
      </c>
      <c r="F9" s="6">
        <f>'Hasil test'!E9</f>
        <v>11.2</v>
      </c>
      <c r="G9" s="2">
        <f>'Confusion matrix'!H9</f>
        <v>91</v>
      </c>
      <c r="H9" s="2">
        <f t="shared" si="1"/>
        <v>3</v>
      </c>
    </row>
    <row r="10" ht="25.5" customHeight="1">
      <c r="A10" s="2"/>
      <c r="B10" s="2"/>
      <c r="C10" s="2"/>
      <c r="D10" s="2"/>
      <c r="E10" s="2"/>
      <c r="F10" s="2"/>
      <c r="G10" s="2"/>
      <c r="H10" s="2"/>
    </row>
    <row r="11" ht="31.5" customHeight="1">
      <c r="A11" s="7" t="s">
        <v>15</v>
      </c>
    </row>
    <row r="12" ht="31.5" customHeight="1">
      <c r="A12" s="7" t="s">
        <v>16</v>
      </c>
    </row>
    <row r="13" ht="31.5" customHeight="1">
      <c r="A13" s="7" t="s">
        <v>17</v>
      </c>
    </row>
    <row r="14" ht="25.5" customHeight="1">
      <c r="A14" s="2"/>
      <c r="B14" s="2"/>
      <c r="C14" s="2"/>
      <c r="D14" s="2"/>
      <c r="E14" s="2"/>
      <c r="F14" s="2"/>
      <c r="G14" s="2"/>
      <c r="H14" s="2"/>
    </row>
    <row r="15" ht="25.5" customHeight="1">
      <c r="A15" s="2"/>
      <c r="B15" s="2"/>
      <c r="C15" s="2"/>
      <c r="D15" s="2"/>
      <c r="E15" s="2"/>
      <c r="F15" s="2"/>
      <c r="G15" s="2"/>
      <c r="H15" s="2"/>
    </row>
    <row r="16" ht="25.5" customHeight="1">
      <c r="A16" s="2"/>
      <c r="B16" s="2"/>
      <c r="C16" s="2"/>
      <c r="D16" s="2"/>
      <c r="E16" s="2"/>
      <c r="F16" s="2"/>
      <c r="G16" s="2"/>
      <c r="H16" s="2"/>
    </row>
    <row r="17" ht="25.5" customHeight="1">
      <c r="A17" s="2"/>
      <c r="B17" s="2"/>
      <c r="C17" s="2"/>
      <c r="D17" s="2"/>
      <c r="E17" s="2"/>
      <c r="F17" s="2"/>
      <c r="G17" s="2"/>
      <c r="H17" s="2"/>
    </row>
    <row r="18" ht="25.5" customHeight="1">
      <c r="A18" s="2"/>
      <c r="B18" s="2"/>
      <c r="C18" s="2"/>
      <c r="D18" s="2"/>
      <c r="E18" s="2"/>
      <c r="F18" s="2"/>
      <c r="G18" s="2"/>
      <c r="H18" s="2"/>
    </row>
    <row r="19" ht="25.5" customHeight="1">
      <c r="A19" s="2"/>
      <c r="B19" s="2"/>
      <c r="C19" s="2"/>
      <c r="D19" s="2"/>
      <c r="E19" s="2"/>
      <c r="F19" s="2"/>
      <c r="G19" s="2"/>
      <c r="H19" s="2"/>
    </row>
    <row r="20" ht="25.5" customHeight="1">
      <c r="A20" s="2"/>
      <c r="B20" s="2"/>
      <c r="C20" s="2"/>
      <c r="D20" s="2"/>
      <c r="E20" s="2"/>
      <c r="F20" s="2"/>
      <c r="G20" s="2"/>
      <c r="H20" s="2"/>
    </row>
    <row r="21" ht="25.5" customHeight="1">
      <c r="A21" s="2"/>
      <c r="B21" s="2"/>
      <c r="C21" s="2"/>
      <c r="D21" s="2"/>
      <c r="E21" s="2"/>
      <c r="F21" s="2"/>
      <c r="G21" s="2"/>
      <c r="H21" s="2"/>
    </row>
    <row r="22" ht="25.5" customHeight="1">
      <c r="A22" s="2"/>
      <c r="B22" s="2"/>
      <c r="C22" s="2"/>
      <c r="D22" s="2"/>
      <c r="E22" s="2"/>
      <c r="F22" s="2"/>
      <c r="G22" s="2"/>
      <c r="H22" s="2"/>
    </row>
    <row r="23" ht="25.5" customHeight="1">
      <c r="A23" s="2"/>
      <c r="B23" s="2"/>
      <c r="C23" s="2"/>
      <c r="D23" s="2"/>
      <c r="E23" s="2"/>
      <c r="F23" s="2"/>
      <c r="G23" s="2"/>
      <c r="H23" s="2"/>
    </row>
    <row r="24" ht="25.5" customHeight="1">
      <c r="A24" s="2"/>
      <c r="B24" s="2"/>
      <c r="C24" s="2"/>
      <c r="D24" s="2"/>
      <c r="E24" s="2"/>
      <c r="F24" s="2"/>
      <c r="G24" s="2"/>
      <c r="H24" s="2"/>
    </row>
    <row r="25" ht="25.5" customHeight="1">
      <c r="A25" s="2"/>
      <c r="B25" s="2"/>
      <c r="C25" s="2"/>
      <c r="D25" s="2"/>
      <c r="E25" s="2"/>
      <c r="F25" s="2"/>
      <c r="G25" s="2"/>
      <c r="H25" s="2"/>
    </row>
    <row r="26" ht="25.5" customHeight="1">
      <c r="A26" s="2"/>
      <c r="B26" s="2"/>
      <c r="C26" s="2"/>
      <c r="D26" s="2"/>
      <c r="E26" s="2"/>
      <c r="F26" s="2"/>
      <c r="G26" s="2"/>
      <c r="H26" s="2"/>
    </row>
    <row r="27" ht="25.5" customHeight="1">
      <c r="A27" s="2"/>
      <c r="B27" s="2"/>
      <c r="C27" s="2"/>
      <c r="D27" s="2"/>
      <c r="E27" s="2"/>
      <c r="F27" s="2"/>
      <c r="G27" s="2"/>
      <c r="H27" s="2"/>
    </row>
    <row r="28" ht="25.5" customHeight="1">
      <c r="A28" s="2"/>
      <c r="B28" s="2"/>
      <c r="C28" s="2"/>
      <c r="D28" s="2"/>
      <c r="E28" s="2"/>
      <c r="F28" s="2"/>
      <c r="G28" s="2"/>
      <c r="H28" s="2"/>
    </row>
    <row r="29" ht="25.5" customHeight="1">
      <c r="A29" s="2"/>
      <c r="B29" s="2"/>
      <c r="C29" s="2"/>
      <c r="D29" s="2"/>
      <c r="E29" s="2"/>
      <c r="F29" s="2"/>
      <c r="G29" s="2"/>
      <c r="H29" s="2"/>
    </row>
    <row r="30" ht="25.5" customHeight="1">
      <c r="A30" s="2"/>
      <c r="B30" s="2"/>
      <c r="C30" s="2"/>
      <c r="D30" s="2"/>
      <c r="E30" s="2"/>
      <c r="F30" s="2"/>
      <c r="G30" s="2"/>
      <c r="H30" s="2"/>
    </row>
    <row r="31" ht="25.5" customHeight="1">
      <c r="A31" s="2"/>
      <c r="B31" s="2"/>
      <c r="C31" s="2"/>
      <c r="D31" s="2"/>
      <c r="E31" s="2"/>
      <c r="F31" s="2"/>
      <c r="G31" s="2"/>
      <c r="H31" s="2"/>
    </row>
    <row r="32" ht="25.5" customHeight="1">
      <c r="A32" s="2"/>
      <c r="B32" s="2"/>
      <c r="C32" s="2"/>
      <c r="D32" s="2"/>
      <c r="E32" s="2"/>
      <c r="F32" s="2"/>
      <c r="G32" s="2"/>
      <c r="H32" s="2"/>
    </row>
    <row r="33" ht="25.5" customHeight="1">
      <c r="A33" s="2"/>
      <c r="B33" s="2"/>
      <c r="C33" s="2"/>
      <c r="D33" s="2"/>
      <c r="E33" s="2"/>
      <c r="F33" s="2"/>
      <c r="G33" s="2"/>
      <c r="H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1:H11"/>
    <mergeCell ref="A12:H12"/>
    <mergeCell ref="A13:H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8.88"/>
    <col customWidth="1" min="3" max="3" width="13.38"/>
    <col customWidth="1" min="4" max="5" width="15.5"/>
    <col customWidth="1" min="6" max="8" width="13.38"/>
    <col customWidth="1" min="9" max="9" width="15.5"/>
    <col customWidth="1" min="10" max="10" width="51.13"/>
    <col customWidth="1" min="11" max="26" width="8.63"/>
  </cols>
  <sheetData>
    <row r="1" ht="31.5" customHeight="1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</row>
    <row r="2" ht="25.5" customHeight="1">
      <c r="A2" s="3" t="s">
        <v>19</v>
      </c>
      <c r="B2" s="2"/>
      <c r="C2" s="2"/>
      <c r="D2" s="2"/>
      <c r="E2" s="2"/>
      <c r="F2" s="2"/>
      <c r="G2" s="2"/>
      <c r="H2" s="2"/>
      <c r="I2" s="2"/>
      <c r="J2" s="2"/>
    </row>
    <row r="3" ht="25.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42.0" customHeight="1">
      <c r="A4" s="4" t="s">
        <v>2</v>
      </c>
      <c r="B4" s="4" t="s">
        <v>20</v>
      </c>
      <c r="C4" s="4" t="s">
        <v>5</v>
      </c>
      <c r="D4" s="4" t="s">
        <v>6</v>
      </c>
      <c r="E4" s="4" t="s">
        <v>7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</row>
    <row r="5" ht="25.5" customHeight="1">
      <c r="A5" s="2" t="s">
        <v>10</v>
      </c>
      <c r="B5" s="5">
        <v>0.9736</v>
      </c>
      <c r="C5" s="5">
        <v>0.9708</v>
      </c>
      <c r="D5" s="6">
        <v>13.0</v>
      </c>
      <c r="E5" s="6">
        <v>57.0</v>
      </c>
      <c r="F5" s="5">
        <v>0.9727</v>
      </c>
      <c r="G5" s="5">
        <v>0.9732</v>
      </c>
      <c r="H5" s="5">
        <v>0.9729</v>
      </c>
      <c r="I5" s="5">
        <v>0.9736</v>
      </c>
      <c r="J5" s="2" t="s">
        <v>26</v>
      </c>
    </row>
    <row r="6" ht="25.5" customHeight="1">
      <c r="A6" s="2" t="s">
        <v>11</v>
      </c>
      <c r="B6" s="5">
        <v>0.9852</v>
      </c>
      <c r="C6" s="5">
        <v>0.9846</v>
      </c>
      <c r="D6" s="6">
        <v>25.7</v>
      </c>
      <c r="E6" s="6">
        <v>134.3</v>
      </c>
      <c r="F6" s="5">
        <v>0.9846</v>
      </c>
      <c r="G6" s="5">
        <v>0.985</v>
      </c>
      <c r="H6" s="5">
        <v>0.9848</v>
      </c>
      <c r="I6" s="5">
        <v>0.9852</v>
      </c>
      <c r="J6" s="2" t="s">
        <v>27</v>
      </c>
    </row>
    <row r="7" ht="25.5" customHeight="1">
      <c r="A7" s="2" t="s">
        <v>12</v>
      </c>
      <c r="B7" s="5">
        <v>0.9842</v>
      </c>
      <c r="C7" s="5">
        <v>0.983</v>
      </c>
      <c r="D7" s="6">
        <v>30.0</v>
      </c>
      <c r="E7" s="6">
        <v>139.6</v>
      </c>
      <c r="F7" s="5">
        <v>0.9838</v>
      </c>
      <c r="G7" s="5">
        <v>0.9838</v>
      </c>
      <c r="H7" s="5">
        <v>0.9838</v>
      </c>
      <c r="I7" s="5">
        <v>0.9842</v>
      </c>
      <c r="J7" s="2" t="s">
        <v>28</v>
      </c>
    </row>
    <row r="8" ht="25.5" customHeight="1">
      <c r="A8" s="2" t="s">
        <v>13</v>
      </c>
      <c r="B8" s="5">
        <v>0.9794</v>
      </c>
      <c r="C8" s="5">
        <v>0.9806</v>
      </c>
      <c r="D8" s="6">
        <v>15.3</v>
      </c>
      <c r="E8" s="6">
        <v>5.6</v>
      </c>
      <c r="F8" s="5">
        <v>0.9781</v>
      </c>
      <c r="G8" s="5">
        <v>0.9798</v>
      </c>
      <c r="H8" s="5">
        <v>0.9789</v>
      </c>
      <c r="I8" s="5">
        <v>0.9794</v>
      </c>
      <c r="J8" s="2" t="s">
        <v>29</v>
      </c>
    </row>
    <row r="9" ht="25.5" customHeight="1">
      <c r="A9" s="2" t="s">
        <v>14</v>
      </c>
      <c r="B9" s="5">
        <v>0.9818</v>
      </c>
      <c r="C9" s="5">
        <v>0.981</v>
      </c>
      <c r="D9" s="6">
        <v>14.5</v>
      </c>
      <c r="E9" s="6">
        <v>11.2</v>
      </c>
      <c r="F9" s="5">
        <v>0.9817</v>
      </c>
      <c r="G9" s="5">
        <v>0.9809</v>
      </c>
      <c r="H9" s="5">
        <v>0.9813</v>
      </c>
      <c r="I9" s="5">
        <v>0.9818</v>
      </c>
      <c r="J9" s="2" t="s">
        <v>30</v>
      </c>
    </row>
    <row r="10" ht="25.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25.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25.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42.0" customHeight="1">
      <c r="A13" s="4" t="s">
        <v>2</v>
      </c>
      <c r="B13" s="4" t="s">
        <v>31</v>
      </c>
      <c r="C13" s="4" t="s">
        <v>32</v>
      </c>
      <c r="D13" s="4" t="s">
        <v>33</v>
      </c>
      <c r="E13" s="4" t="s">
        <v>34</v>
      </c>
      <c r="F13" s="4" t="s">
        <v>35</v>
      </c>
      <c r="G13" s="4"/>
      <c r="H13" s="4"/>
      <c r="I13" s="4"/>
      <c r="J13" s="4" t="s">
        <v>25</v>
      </c>
    </row>
    <row r="14" ht="25.5" customHeight="1">
      <c r="A14" s="2" t="s">
        <v>10</v>
      </c>
      <c r="B14" s="2" t="s">
        <v>36</v>
      </c>
      <c r="C14" s="8">
        <v>0.9785</v>
      </c>
      <c r="D14" s="8">
        <v>0.9758</v>
      </c>
      <c r="E14" s="8">
        <v>0.9772</v>
      </c>
      <c r="F14" s="2">
        <v>2893.0</v>
      </c>
      <c r="G14" s="2"/>
      <c r="H14" s="2"/>
      <c r="I14" s="2"/>
      <c r="J14" s="2" t="s">
        <v>37</v>
      </c>
    </row>
    <row r="15" ht="25.5" customHeight="1">
      <c r="A15" s="2" t="s">
        <v>10</v>
      </c>
      <c r="B15" s="2" t="s">
        <v>38</v>
      </c>
      <c r="C15" s="8">
        <v>0.9669</v>
      </c>
      <c r="D15" s="8">
        <v>0.9706</v>
      </c>
      <c r="E15" s="8">
        <v>0.9687</v>
      </c>
      <c r="F15" s="2">
        <v>2107.0</v>
      </c>
      <c r="G15" s="2"/>
      <c r="H15" s="2"/>
      <c r="I15" s="2"/>
      <c r="J15" s="2" t="s">
        <v>37</v>
      </c>
    </row>
    <row r="16" ht="25.5" customHeight="1">
      <c r="A16" s="2" t="s">
        <v>10</v>
      </c>
      <c r="B16" s="2" t="s">
        <v>39</v>
      </c>
      <c r="C16" s="8">
        <v>0.9727</v>
      </c>
      <c r="D16" s="8">
        <v>0.9732</v>
      </c>
      <c r="E16" s="8">
        <v>0.9729</v>
      </c>
      <c r="F16" s="2">
        <v>5000.0</v>
      </c>
      <c r="G16" s="2"/>
      <c r="H16" s="2"/>
      <c r="I16" s="2"/>
      <c r="J16" s="2" t="s">
        <v>37</v>
      </c>
    </row>
    <row r="17" ht="25.5" customHeight="1">
      <c r="A17" s="2" t="s">
        <v>10</v>
      </c>
      <c r="B17" s="2" t="s">
        <v>40</v>
      </c>
      <c r="C17" s="8">
        <v>0.9736</v>
      </c>
      <c r="D17" s="8">
        <v>0.9736</v>
      </c>
      <c r="E17" s="8">
        <v>0.9736</v>
      </c>
      <c r="F17" s="2">
        <v>5000.0</v>
      </c>
      <c r="G17" s="2"/>
      <c r="H17" s="2"/>
      <c r="I17" s="2"/>
      <c r="J17" s="2" t="s">
        <v>37</v>
      </c>
    </row>
    <row r="18" ht="25.5" customHeight="1">
      <c r="A18" s="2" t="s">
        <v>11</v>
      </c>
      <c r="B18" s="2" t="s">
        <v>36</v>
      </c>
      <c r="C18" s="8">
        <v>0.9882</v>
      </c>
      <c r="D18" s="8">
        <v>0.9862</v>
      </c>
      <c r="E18" s="8">
        <v>0.9872</v>
      </c>
      <c r="F18" s="2">
        <v>2893.0</v>
      </c>
      <c r="G18" s="2"/>
      <c r="H18" s="2"/>
      <c r="I18" s="2"/>
      <c r="J18" s="2" t="s">
        <v>41</v>
      </c>
    </row>
    <row r="19" ht="25.5" customHeight="1">
      <c r="A19" s="2" t="s">
        <v>11</v>
      </c>
      <c r="B19" s="2" t="s">
        <v>38</v>
      </c>
      <c r="C19" s="8">
        <v>0.9811</v>
      </c>
      <c r="D19" s="8">
        <v>0.9839</v>
      </c>
      <c r="E19" s="8">
        <v>0.9825</v>
      </c>
      <c r="F19" s="2">
        <v>2107.0</v>
      </c>
      <c r="G19" s="2"/>
      <c r="H19" s="2"/>
      <c r="I19" s="2"/>
      <c r="J19" s="2" t="s">
        <v>41</v>
      </c>
    </row>
    <row r="20" ht="25.5" customHeight="1">
      <c r="A20" s="2" t="s">
        <v>11</v>
      </c>
      <c r="B20" s="2" t="s">
        <v>39</v>
      </c>
      <c r="C20" s="8">
        <v>0.9846</v>
      </c>
      <c r="D20" s="8">
        <v>0.985</v>
      </c>
      <c r="E20" s="8">
        <v>0.9848</v>
      </c>
      <c r="F20" s="2">
        <v>5000.0</v>
      </c>
      <c r="G20" s="2"/>
      <c r="H20" s="2"/>
      <c r="I20" s="2"/>
      <c r="J20" s="2" t="s">
        <v>41</v>
      </c>
    </row>
    <row r="21" ht="25.5" customHeight="1">
      <c r="A21" s="2" t="s">
        <v>11</v>
      </c>
      <c r="B21" s="2" t="s">
        <v>40</v>
      </c>
      <c r="C21" s="8">
        <v>0.9852</v>
      </c>
      <c r="D21" s="8">
        <v>0.9852</v>
      </c>
      <c r="E21" s="8">
        <v>0.9852</v>
      </c>
      <c r="F21" s="2">
        <v>5000.0</v>
      </c>
      <c r="G21" s="2"/>
      <c r="H21" s="2"/>
      <c r="I21" s="2"/>
      <c r="J21" s="2" t="s">
        <v>41</v>
      </c>
    </row>
    <row r="22" ht="25.5" customHeight="1">
      <c r="A22" s="2" t="s">
        <v>12</v>
      </c>
      <c r="B22" s="2" t="s">
        <v>36</v>
      </c>
      <c r="C22" s="8">
        <v>0.9865</v>
      </c>
      <c r="D22" s="8">
        <v>0.9862</v>
      </c>
      <c r="E22" s="8">
        <v>0.9863</v>
      </c>
      <c r="F22" s="2">
        <v>2893.0</v>
      </c>
      <c r="G22" s="2"/>
      <c r="H22" s="2"/>
      <c r="I22" s="2"/>
      <c r="J22" s="2" t="s">
        <v>42</v>
      </c>
    </row>
    <row r="23" ht="25.5" customHeight="1">
      <c r="A23" s="2" t="s">
        <v>12</v>
      </c>
      <c r="B23" s="2" t="s">
        <v>38</v>
      </c>
      <c r="C23" s="8">
        <v>0.981</v>
      </c>
      <c r="D23" s="8">
        <v>0.9815</v>
      </c>
      <c r="E23" s="8">
        <v>0.9813</v>
      </c>
      <c r="F23" s="2">
        <v>2107.0</v>
      </c>
      <c r="G23" s="2"/>
      <c r="H23" s="2"/>
      <c r="I23" s="2"/>
      <c r="J23" s="2" t="s">
        <v>42</v>
      </c>
    </row>
    <row r="24" ht="25.5" customHeight="1">
      <c r="A24" s="2" t="s">
        <v>12</v>
      </c>
      <c r="B24" s="2" t="s">
        <v>39</v>
      </c>
      <c r="C24" s="8">
        <v>0.9838</v>
      </c>
      <c r="D24" s="8">
        <v>0.9838</v>
      </c>
      <c r="E24" s="8">
        <v>0.9838</v>
      </c>
      <c r="F24" s="2">
        <v>5000.0</v>
      </c>
      <c r="G24" s="2"/>
      <c r="H24" s="2"/>
      <c r="I24" s="2"/>
      <c r="J24" s="2" t="s">
        <v>42</v>
      </c>
    </row>
    <row r="25" ht="25.5" customHeight="1">
      <c r="A25" s="2" t="s">
        <v>12</v>
      </c>
      <c r="B25" s="2" t="s">
        <v>40</v>
      </c>
      <c r="C25" s="8">
        <v>0.9842</v>
      </c>
      <c r="D25" s="8">
        <v>0.9842</v>
      </c>
      <c r="E25" s="8">
        <v>0.9842</v>
      </c>
      <c r="F25" s="2">
        <v>5000.0</v>
      </c>
      <c r="G25" s="2"/>
      <c r="H25" s="2"/>
      <c r="I25" s="2"/>
      <c r="J25" s="2" t="s">
        <v>42</v>
      </c>
    </row>
    <row r="26" ht="25.5" customHeight="1">
      <c r="A26" s="2" t="s">
        <v>13</v>
      </c>
      <c r="B26" s="2" t="s">
        <v>36</v>
      </c>
      <c r="C26" s="8">
        <v>0.9871</v>
      </c>
      <c r="D26" s="8">
        <v>0.9772</v>
      </c>
      <c r="E26" s="8">
        <v>0.9821</v>
      </c>
      <c r="F26" s="2">
        <v>2893.0</v>
      </c>
      <c r="G26" s="2"/>
      <c r="H26" s="2"/>
      <c r="I26" s="2"/>
      <c r="J26" s="2" t="s">
        <v>43</v>
      </c>
    </row>
    <row r="27" ht="25.5" customHeight="1">
      <c r="A27" s="2" t="s">
        <v>13</v>
      </c>
      <c r="B27" s="2" t="s">
        <v>38</v>
      </c>
      <c r="C27" s="8">
        <v>0.9691</v>
      </c>
      <c r="D27" s="8">
        <v>0.9824</v>
      </c>
      <c r="E27" s="8">
        <v>0.9757</v>
      </c>
      <c r="F27" s="2">
        <v>2107.0</v>
      </c>
      <c r="G27" s="2"/>
      <c r="H27" s="2"/>
      <c r="I27" s="2"/>
      <c r="J27" s="2" t="s">
        <v>43</v>
      </c>
    </row>
    <row r="28" ht="25.5" customHeight="1">
      <c r="A28" s="2" t="s">
        <v>13</v>
      </c>
      <c r="B28" s="2" t="s">
        <v>39</v>
      </c>
      <c r="C28" s="8">
        <v>0.9781</v>
      </c>
      <c r="D28" s="8">
        <v>0.9798</v>
      </c>
      <c r="E28" s="8">
        <v>0.9789</v>
      </c>
      <c r="F28" s="2">
        <v>5000.0</v>
      </c>
      <c r="G28" s="2"/>
      <c r="H28" s="2"/>
      <c r="I28" s="2"/>
      <c r="J28" s="2" t="s">
        <v>43</v>
      </c>
    </row>
    <row r="29" ht="25.5" customHeight="1">
      <c r="A29" s="2" t="s">
        <v>13</v>
      </c>
      <c r="B29" s="2" t="s">
        <v>40</v>
      </c>
      <c r="C29" s="8">
        <v>0.9795</v>
      </c>
      <c r="D29" s="8">
        <v>0.9794</v>
      </c>
      <c r="E29" s="8">
        <v>0.9794</v>
      </c>
      <c r="F29" s="2">
        <v>5000.0</v>
      </c>
      <c r="G29" s="2"/>
      <c r="H29" s="2"/>
      <c r="I29" s="2"/>
      <c r="J29" s="2" t="s">
        <v>43</v>
      </c>
    </row>
    <row r="30" ht="25.5" customHeight="1">
      <c r="A30" s="2" t="s">
        <v>14</v>
      </c>
      <c r="B30" s="2" t="s">
        <v>36</v>
      </c>
      <c r="C30" s="8">
        <v>0.9821</v>
      </c>
      <c r="D30" s="8">
        <v>0.9865</v>
      </c>
      <c r="E30" s="8">
        <v>0.9843</v>
      </c>
      <c r="F30" s="2">
        <v>2893.0</v>
      </c>
      <c r="G30" s="2"/>
      <c r="H30" s="2"/>
      <c r="I30" s="2"/>
      <c r="J30" s="2" t="s">
        <v>44</v>
      </c>
    </row>
    <row r="31" ht="25.5" customHeight="1">
      <c r="A31" s="2" t="s">
        <v>14</v>
      </c>
      <c r="B31" s="2" t="s">
        <v>38</v>
      </c>
      <c r="C31" s="8">
        <v>0.9814</v>
      </c>
      <c r="D31" s="8">
        <v>0.9753</v>
      </c>
      <c r="E31" s="8">
        <v>0.9783</v>
      </c>
      <c r="F31" s="2">
        <v>2107.0</v>
      </c>
      <c r="G31" s="2"/>
      <c r="H31" s="2"/>
      <c r="I31" s="2"/>
      <c r="J31" s="2" t="s">
        <v>44</v>
      </c>
    </row>
    <row r="32" ht="25.5" customHeight="1">
      <c r="A32" s="2" t="s">
        <v>14</v>
      </c>
      <c r="B32" s="2" t="s">
        <v>39</v>
      </c>
      <c r="C32" s="8">
        <v>0.9817</v>
      </c>
      <c r="D32" s="8">
        <v>0.9809</v>
      </c>
      <c r="E32" s="8">
        <v>0.9813</v>
      </c>
      <c r="F32" s="2">
        <v>5000.0</v>
      </c>
      <c r="G32" s="2"/>
      <c r="H32" s="2"/>
      <c r="I32" s="2"/>
      <c r="J32" s="2" t="s">
        <v>44</v>
      </c>
    </row>
    <row r="33" ht="25.5" customHeight="1">
      <c r="A33" s="2" t="s">
        <v>14</v>
      </c>
      <c r="B33" s="2" t="s">
        <v>40</v>
      </c>
      <c r="C33" s="8">
        <v>0.9818</v>
      </c>
      <c r="D33" s="8">
        <v>0.9818</v>
      </c>
      <c r="E33" s="8">
        <v>0.9818</v>
      </c>
      <c r="F33" s="2">
        <v>5000.0</v>
      </c>
      <c r="G33" s="2"/>
      <c r="H33" s="2"/>
      <c r="I33" s="2"/>
      <c r="J33" s="2" t="s">
        <v>44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5" width="14.5"/>
    <col customWidth="1" min="6" max="8" width="12.75"/>
    <col customWidth="1" min="9" max="9" width="13.38"/>
    <col customWidth="1" min="10" max="10" width="51.13"/>
    <col customWidth="1" min="11" max="26" width="8.63"/>
  </cols>
  <sheetData>
    <row r="1" ht="31.5" customHeight="1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</row>
    <row r="2" ht="25.5" customHeight="1">
      <c r="A2" s="3" t="s">
        <v>46</v>
      </c>
      <c r="B2" s="2"/>
      <c r="C2" s="2"/>
      <c r="D2" s="2"/>
      <c r="E2" s="2"/>
      <c r="F2" s="2"/>
      <c r="G2" s="2"/>
      <c r="H2" s="2"/>
      <c r="I2" s="2"/>
      <c r="J2" s="2"/>
    </row>
    <row r="3" ht="25.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42.0" customHeight="1">
      <c r="A4" s="4" t="s">
        <v>2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25</v>
      </c>
    </row>
    <row r="5" ht="25.5" customHeight="1">
      <c r="A5" s="2" t="s">
        <v>10</v>
      </c>
      <c r="B5" s="2">
        <v>2823.0</v>
      </c>
      <c r="C5" s="2">
        <v>70.0</v>
      </c>
      <c r="D5" s="2">
        <v>62.0</v>
      </c>
      <c r="E5" s="2">
        <v>2045.0</v>
      </c>
      <c r="F5" s="2">
        <f t="shared" ref="F5:F9" si="1">SUM(B5:E5)</f>
        <v>5000</v>
      </c>
      <c r="G5" s="2">
        <f t="shared" ref="G5:G9" si="2">B5+E5</f>
        <v>4868</v>
      </c>
      <c r="H5" s="2">
        <f t="shared" ref="H5:H9" si="3">C5+D5</f>
        <v>132</v>
      </c>
      <c r="I5" s="5">
        <f t="shared" ref="I5:I9" si="4">G5/F5</f>
        <v>0.9736</v>
      </c>
      <c r="J5" s="2" t="s">
        <v>55</v>
      </c>
    </row>
    <row r="6" ht="25.5" customHeight="1">
      <c r="A6" s="2" t="s">
        <v>11</v>
      </c>
      <c r="B6" s="2">
        <v>2853.0</v>
      </c>
      <c r="C6" s="2">
        <v>40.0</v>
      </c>
      <c r="D6" s="2">
        <v>34.0</v>
      </c>
      <c r="E6" s="2">
        <v>2073.0</v>
      </c>
      <c r="F6" s="2">
        <f t="shared" si="1"/>
        <v>5000</v>
      </c>
      <c r="G6" s="2">
        <f t="shared" si="2"/>
        <v>4926</v>
      </c>
      <c r="H6" s="2">
        <f t="shared" si="3"/>
        <v>74</v>
      </c>
      <c r="I6" s="5">
        <f t="shared" si="4"/>
        <v>0.9852</v>
      </c>
      <c r="J6" s="2" t="s">
        <v>56</v>
      </c>
    </row>
    <row r="7" ht="25.5" customHeight="1">
      <c r="A7" s="2" t="s">
        <v>12</v>
      </c>
      <c r="B7" s="2">
        <v>2853.0</v>
      </c>
      <c r="C7" s="2">
        <v>40.0</v>
      </c>
      <c r="D7" s="2">
        <v>39.0</v>
      </c>
      <c r="E7" s="2">
        <v>2068.0</v>
      </c>
      <c r="F7" s="2">
        <f t="shared" si="1"/>
        <v>5000</v>
      </c>
      <c r="G7" s="2">
        <f t="shared" si="2"/>
        <v>4921</v>
      </c>
      <c r="H7" s="2">
        <f t="shared" si="3"/>
        <v>79</v>
      </c>
      <c r="I7" s="5">
        <f t="shared" si="4"/>
        <v>0.9842</v>
      </c>
      <c r="J7" s="2" t="s">
        <v>57</v>
      </c>
    </row>
    <row r="8" ht="25.5" customHeight="1">
      <c r="A8" s="2" t="s">
        <v>13</v>
      </c>
      <c r="B8" s="2">
        <v>2827.0</v>
      </c>
      <c r="C8" s="2">
        <v>66.0</v>
      </c>
      <c r="D8" s="2">
        <v>37.0</v>
      </c>
      <c r="E8" s="2">
        <v>2070.0</v>
      </c>
      <c r="F8" s="2">
        <f t="shared" si="1"/>
        <v>5000</v>
      </c>
      <c r="G8" s="2">
        <f t="shared" si="2"/>
        <v>4897</v>
      </c>
      <c r="H8" s="2">
        <f t="shared" si="3"/>
        <v>103</v>
      </c>
      <c r="I8" s="5">
        <f t="shared" si="4"/>
        <v>0.9794</v>
      </c>
      <c r="J8" s="2" t="s">
        <v>58</v>
      </c>
    </row>
    <row r="9" ht="25.5" customHeight="1">
      <c r="A9" s="2" t="s">
        <v>14</v>
      </c>
      <c r="B9" s="2">
        <v>2854.0</v>
      </c>
      <c r="C9" s="2">
        <v>39.0</v>
      </c>
      <c r="D9" s="2">
        <v>52.0</v>
      </c>
      <c r="E9" s="2">
        <v>2055.0</v>
      </c>
      <c r="F9" s="2">
        <f t="shared" si="1"/>
        <v>5000</v>
      </c>
      <c r="G9" s="2">
        <f t="shared" si="2"/>
        <v>4909</v>
      </c>
      <c r="H9" s="2">
        <f t="shared" si="3"/>
        <v>91</v>
      </c>
      <c r="I9" s="5">
        <f t="shared" si="4"/>
        <v>0.9818</v>
      </c>
      <c r="J9" s="2" t="s">
        <v>59</v>
      </c>
    </row>
    <row r="10" ht="25.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25.5" customHeight="1">
      <c r="A11" s="2" t="s">
        <v>60</v>
      </c>
      <c r="B11" s="2"/>
      <c r="C11" s="2"/>
      <c r="D11" s="2"/>
      <c r="E11" s="2"/>
      <c r="F11" s="2"/>
      <c r="G11" s="2"/>
      <c r="H11" s="2"/>
      <c r="I11" s="2"/>
      <c r="J11" s="2"/>
    </row>
    <row r="12" ht="25.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5.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37.5" customHeight="1">
      <c r="A14" s="9" t="s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ht="37.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7.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37.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7.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37.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37.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37.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37.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37.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37.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37.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37.5" customHeight="1">
      <c r="A26" s="9" t="s">
        <v>11</v>
      </c>
      <c r="B26" s="2"/>
      <c r="C26" s="2"/>
      <c r="D26" s="2"/>
      <c r="E26" s="2"/>
      <c r="F26" s="2"/>
      <c r="G26" s="2"/>
      <c r="H26" s="2"/>
      <c r="I26" s="2"/>
      <c r="J26" s="2"/>
    </row>
    <row r="27" ht="37.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37.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37.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37.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37.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37.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37.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37.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37.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37.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37.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7.5" customHeight="1">
      <c r="A38" s="9" t="s">
        <v>12</v>
      </c>
      <c r="B38" s="2"/>
      <c r="C38" s="2"/>
      <c r="D38" s="2"/>
      <c r="E38" s="2"/>
      <c r="F38" s="2"/>
      <c r="G38" s="2"/>
      <c r="H38" s="2"/>
      <c r="I38" s="2"/>
      <c r="J38" s="2"/>
    </row>
    <row r="39" ht="37.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7.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7.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37.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37.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37.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37.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37.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37.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37.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37.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37.5" customHeight="1">
      <c r="A50" s="9" t="s">
        <v>13</v>
      </c>
      <c r="B50" s="2"/>
      <c r="C50" s="2"/>
      <c r="D50" s="2"/>
      <c r="E50" s="2"/>
      <c r="F50" s="2"/>
      <c r="G50" s="2"/>
      <c r="H50" s="2"/>
      <c r="I50" s="2"/>
      <c r="J50" s="2"/>
    </row>
    <row r="51" ht="37.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37.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37.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37.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37.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37.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37.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37.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37.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37.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37.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37.5" customHeight="1">
      <c r="A62" s="9" t="s">
        <v>14</v>
      </c>
      <c r="B62" s="2"/>
      <c r="C62" s="2"/>
      <c r="D62" s="2"/>
      <c r="E62" s="2"/>
      <c r="F62" s="2"/>
      <c r="G62" s="2"/>
      <c r="H62" s="2"/>
      <c r="I62" s="2"/>
      <c r="J62" s="2"/>
    </row>
    <row r="63" ht="37.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37.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37.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37.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37.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5"/>
    <col customWidth="1" min="2" max="2" width="8.88"/>
    <col customWidth="1" min="3" max="6" width="14.5"/>
    <col customWidth="1" min="7" max="7" width="16.63"/>
    <col customWidth="1" min="8" max="8" width="51.13"/>
    <col customWidth="1" min="9" max="26" width="8.63"/>
  </cols>
  <sheetData>
    <row r="1" ht="42.0" customHeight="1">
      <c r="A1" s="4" t="s">
        <v>2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25</v>
      </c>
    </row>
    <row r="2" ht="25.5" customHeight="1">
      <c r="A2" s="2" t="s">
        <v>10</v>
      </c>
      <c r="B2" s="2">
        <v>1.0</v>
      </c>
      <c r="C2" s="8">
        <v>0.2178</v>
      </c>
      <c r="D2" s="8">
        <v>0.9073</v>
      </c>
      <c r="E2" s="8">
        <v>0.1312</v>
      </c>
      <c r="F2" s="8">
        <v>0.9478</v>
      </c>
      <c r="G2" s="2">
        <v>96.0</v>
      </c>
      <c r="H2" s="2" t="s">
        <v>67</v>
      </c>
    </row>
    <row r="3" ht="25.5" customHeight="1">
      <c r="A3" s="2" t="s">
        <v>10</v>
      </c>
      <c r="B3" s="2">
        <v>2.0</v>
      </c>
      <c r="C3" s="8">
        <v>0.1181</v>
      </c>
      <c r="D3" s="8">
        <v>0.9526</v>
      </c>
      <c r="E3" s="8">
        <v>0.1027</v>
      </c>
      <c r="F3" s="8">
        <v>0.9556</v>
      </c>
      <c r="G3" s="2">
        <v>98.0</v>
      </c>
      <c r="H3" s="2" t="s">
        <v>67</v>
      </c>
    </row>
    <row r="4" ht="25.5" customHeight="1">
      <c r="A4" s="2" t="s">
        <v>10</v>
      </c>
      <c r="B4" s="2">
        <v>3.0</v>
      </c>
      <c r="C4" s="8">
        <v>0.0933</v>
      </c>
      <c r="D4" s="8">
        <v>0.9625</v>
      </c>
      <c r="E4" s="8">
        <v>0.0873</v>
      </c>
      <c r="F4" s="8">
        <v>0.9652</v>
      </c>
      <c r="G4" s="2">
        <v>97.0</v>
      </c>
      <c r="H4" s="2" t="s">
        <v>67</v>
      </c>
    </row>
    <row r="5" ht="25.5" customHeight="1">
      <c r="A5" s="2" t="s">
        <v>10</v>
      </c>
      <c r="B5" s="2">
        <v>4.0</v>
      </c>
      <c r="C5" s="8">
        <v>0.0786</v>
      </c>
      <c r="D5" s="8">
        <v>0.9708</v>
      </c>
      <c r="E5" s="8">
        <v>0.0864</v>
      </c>
      <c r="F5" s="8">
        <v>0.9668</v>
      </c>
      <c r="G5" s="2">
        <v>96.0</v>
      </c>
      <c r="H5" s="2" t="s">
        <v>67</v>
      </c>
    </row>
    <row r="6" ht="25.5" customHeight="1">
      <c r="A6" s="2" t="s">
        <v>10</v>
      </c>
      <c r="B6" s="2">
        <v>5.0</v>
      </c>
      <c r="C6" s="8">
        <v>0.0671</v>
      </c>
      <c r="D6" s="8">
        <v>0.9731</v>
      </c>
      <c r="E6" s="8">
        <v>0.0868</v>
      </c>
      <c r="F6" s="8">
        <v>0.968</v>
      </c>
      <c r="G6" s="2">
        <v>100.0</v>
      </c>
      <c r="H6" s="2" t="s">
        <v>67</v>
      </c>
    </row>
    <row r="7" ht="25.5" customHeight="1">
      <c r="A7" s="2" t="s">
        <v>10</v>
      </c>
      <c r="B7" s="2">
        <v>6.0</v>
      </c>
      <c r="C7" s="8">
        <v>0.0628</v>
      </c>
      <c r="D7" s="8">
        <v>0.9754</v>
      </c>
      <c r="E7" s="8">
        <v>0.0843</v>
      </c>
      <c r="F7" s="8">
        <v>0.9702</v>
      </c>
      <c r="G7" s="2">
        <v>95.0</v>
      </c>
      <c r="H7" s="2" t="s">
        <v>67</v>
      </c>
    </row>
    <row r="8" ht="25.5" customHeight="1">
      <c r="A8" s="2" t="s">
        <v>10</v>
      </c>
      <c r="B8" s="2">
        <v>7.0</v>
      </c>
      <c r="C8" s="8">
        <v>0.0502</v>
      </c>
      <c r="D8" s="8">
        <v>0.981</v>
      </c>
      <c r="E8" s="8">
        <v>0.0823</v>
      </c>
      <c r="F8" s="8">
        <v>0.9708</v>
      </c>
      <c r="G8" s="2">
        <v>99.0</v>
      </c>
      <c r="H8" s="2" t="s">
        <v>67</v>
      </c>
    </row>
    <row r="9" ht="25.5" customHeight="1">
      <c r="A9" s="2" t="s">
        <v>10</v>
      </c>
      <c r="B9" s="2">
        <v>8.0</v>
      </c>
      <c r="C9" s="8">
        <v>0.0466</v>
      </c>
      <c r="D9" s="8">
        <v>0.9823</v>
      </c>
      <c r="E9" s="8">
        <v>0.0776</v>
      </c>
      <c r="F9" s="8">
        <v>0.9708</v>
      </c>
      <c r="G9" s="2">
        <v>97.0</v>
      </c>
      <c r="H9" s="2" t="s">
        <v>67</v>
      </c>
    </row>
    <row r="10" ht="25.5" customHeight="1">
      <c r="A10" s="2" t="s">
        <v>11</v>
      </c>
      <c r="B10" s="2">
        <v>1.0</v>
      </c>
      <c r="C10" s="8">
        <v>0.1252</v>
      </c>
      <c r="D10" s="8">
        <v>0.9525</v>
      </c>
      <c r="E10" s="8">
        <v>0.0914</v>
      </c>
      <c r="F10" s="8">
        <v>0.963</v>
      </c>
      <c r="G10" s="2">
        <v>198.0</v>
      </c>
      <c r="H10" s="2" t="s">
        <v>68</v>
      </c>
    </row>
    <row r="11" ht="25.5" customHeight="1">
      <c r="A11" s="2" t="s">
        <v>11</v>
      </c>
      <c r="B11" s="2">
        <v>2.0</v>
      </c>
      <c r="C11" s="8">
        <v>0.0717</v>
      </c>
      <c r="D11" s="8">
        <v>0.9736</v>
      </c>
      <c r="E11" s="8">
        <v>0.079</v>
      </c>
      <c r="F11" s="8">
        <v>0.974</v>
      </c>
      <c r="G11" s="2">
        <v>195.0</v>
      </c>
      <c r="H11" s="2" t="s">
        <v>68</v>
      </c>
    </row>
    <row r="12" ht="25.5" customHeight="1">
      <c r="A12" s="2" t="s">
        <v>11</v>
      </c>
      <c r="B12" s="2">
        <v>3.0</v>
      </c>
      <c r="C12" s="8">
        <v>0.0574</v>
      </c>
      <c r="D12" s="8">
        <v>0.9795</v>
      </c>
      <c r="E12" s="8">
        <v>0.0551</v>
      </c>
      <c r="F12" s="8">
        <v>0.978</v>
      </c>
      <c r="G12" s="2">
        <v>194.0</v>
      </c>
      <c r="H12" s="2" t="s">
        <v>68</v>
      </c>
    </row>
    <row r="13" ht="25.5" customHeight="1">
      <c r="A13" s="2" t="s">
        <v>11</v>
      </c>
      <c r="B13" s="2">
        <v>4.0</v>
      </c>
      <c r="C13" s="8">
        <v>0.0521</v>
      </c>
      <c r="D13" s="8">
        <v>0.9815</v>
      </c>
      <c r="E13" s="8">
        <v>0.0618</v>
      </c>
      <c r="F13" s="8">
        <v>0.9818</v>
      </c>
      <c r="G13" s="2">
        <v>194.0</v>
      </c>
      <c r="H13" s="2" t="s">
        <v>68</v>
      </c>
    </row>
    <row r="14" ht="25.5" customHeight="1">
      <c r="A14" s="2" t="s">
        <v>11</v>
      </c>
      <c r="B14" s="2">
        <v>5.0</v>
      </c>
      <c r="C14" s="8">
        <v>0.0411</v>
      </c>
      <c r="D14" s="8">
        <v>0.9853</v>
      </c>
      <c r="E14" s="8">
        <v>0.0568</v>
      </c>
      <c r="F14" s="8">
        <v>0.981</v>
      </c>
      <c r="G14" s="2">
        <v>190.0</v>
      </c>
      <c r="H14" s="2" t="s">
        <v>68</v>
      </c>
    </row>
    <row r="15" ht="25.5" customHeight="1">
      <c r="A15" s="2" t="s">
        <v>11</v>
      </c>
      <c r="B15" s="2">
        <v>6.0</v>
      </c>
      <c r="C15" s="8">
        <v>0.0358</v>
      </c>
      <c r="D15" s="8">
        <v>0.9873</v>
      </c>
      <c r="E15" s="8">
        <v>0.0883</v>
      </c>
      <c r="F15" s="8">
        <v>0.9752</v>
      </c>
      <c r="G15" s="2">
        <v>190.0</v>
      </c>
      <c r="H15" s="2" t="s">
        <v>68</v>
      </c>
    </row>
    <row r="16" ht="25.5" customHeight="1">
      <c r="A16" s="2" t="s">
        <v>11</v>
      </c>
      <c r="B16" s="2">
        <v>7.0</v>
      </c>
      <c r="C16" s="8">
        <v>0.0304</v>
      </c>
      <c r="D16" s="8">
        <v>0.9889</v>
      </c>
      <c r="E16" s="8">
        <v>0.0638</v>
      </c>
      <c r="F16" s="8">
        <v>0.9846</v>
      </c>
      <c r="G16" s="2">
        <v>192.0</v>
      </c>
      <c r="H16" s="2" t="s">
        <v>68</v>
      </c>
    </row>
    <row r="17" ht="25.5" customHeight="1">
      <c r="A17" s="2" t="s">
        <v>11</v>
      </c>
      <c r="B17" s="2">
        <v>8.0</v>
      </c>
      <c r="C17" s="8">
        <v>0.0291</v>
      </c>
      <c r="D17" s="8">
        <v>0.9902</v>
      </c>
      <c r="E17" s="8">
        <v>0.0579</v>
      </c>
      <c r="F17" s="8">
        <v>0.981</v>
      </c>
      <c r="G17" s="2">
        <v>191.0</v>
      </c>
      <c r="H17" s="2" t="s">
        <v>68</v>
      </c>
    </row>
    <row r="18" ht="25.5" customHeight="1">
      <c r="A18" s="2" t="s">
        <v>12</v>
      </c>
      <c r="B18" s="2">
        <v>1.0</v>
      </c>
      <c r="C18" s="8">
        <v>0.1302</v>
      </c>
      <c r="D18" s="8">
        <v>0.9463</v>
      </c>
      <c r="E18" s="8">
        <v>0.078</v>
      </c>
      <c r="F18" s="8">
        <v>0.9674</v>
      </c>
      <c r="G18" s="2">
        <v>216.0</v>
      </c>
      <c r="H18" s="2" t="s">
        <v>69</v>
      </c>
    </row>
    <row r="19" ht="25.5" customHeight="1">
      <c r="A19" s="2" t="s">
        <v>12</v>
      </c>
      <c r="B19" s="2">
        <v>2.0</v>
      </c>
      <c r="C19" s="8">
        <v>0.0721</v>
      </c>
      <c r="D19" s="8">
        <v>0.9731</v>
      </c>
      <c r="E19" s="8">
        <v>0.0645</v>
      </c>
      <c r="F19" s="8">
        <v>0.9754</v>
      </c>
      <c r="G19" s="2">
        <v>221.0</v>
      </c>
      <c r="H19" s="2" t="s">
        <v>69</v>
      </c>
    </row>
    <row r="20" ht="25.5" customHeight="1">
      <c r="A20" s="2" t="s">
        <v>12</v>
      </c>
      <c r="B20" s="2">
        <v>3.0</v>
      </c>
      <c r="C20" s="8">
        <v>0.0582</v>
      </c>
      <c r="D20" s="8">
        <v>0.9776</v>
      </c>
      <c r="E20" s="8">
        <v>0.0589</v>
      </c>
      <c r="F20" s="8">
        <v>0.9782</v>
      </c>
      <c r="G20" s="2">
        <v>219.0</v>
      </c>
      <c r="H20" s="2" t="s">
        <v>69</v>
      </c>
    </row>
    <row r="21" ht="25.5" customHeight="1">
      <c r="A21" s="2" t="s">
        <v>12</v>
      </c>
      <c r="B21" s="2">
        <v>4.0</v>
      </c>
      <c r="C21" s="8">
        <v>0.0581</v>
      </c>
      <c r="D21" s="8">
        <v>0.98</v>
      </c>
      <c r="E21" s="8">
        <v>0.0526</v>
      </c>
      <c r="F21" s="8">
        <v>0.9802</v>
      </c>
      <c r="G21" s="2">
        <v>237.0</v>
      </c>
      <c r="H21" s="2" t="s">
        <v>69</v>
      </c>
    </row>
    <row r="22" ht="25.5" customHeight="1">
      <c r="A22" s="2" t="s">
        <v>12</v>
      </c>
      <c r="B22" s="2">
        <v>5.0</v>
      </c>
      <c r="C22" s="8">
        <v>0.0419</v>
      </c>
      <c r="D22" s="8">
        <v>0.9853</v>
      </c>
      <c r="E22" s="8">
        <v>0.0696</v>
      </c>
      <c r="F22" s="8">
        <v>0.9782</v>
      </c>
      <c r="G22" s="2">
        <v>217.0</v>
      </c>
      <c r="H22" s="2" t="s">
        <v>69</v>
      </c>
    </row>
    <row r="23" ht="25.5" customHeight="1">
      <c r="A23" s="2" t="s">
        <v>12</v>
      </c>
      <c r="B23" s="2">
        <v>6.0</v>
      </c>
      <c r="C23" s="8">
        <v>0.0389</v>
      </c>
      <c r="D23" s="8">
        <v>0.9871</v>
      </c>
      <c r="E23" s="8">
        <v>0.0594</v>
      </c>
      <c r="F23" s="8">
        <v>0.9804</v>
      </c>
      <c r="G23" s="2">
        <v>234.0</v>
      </c>
      <c r="H23" s="2" t="s">
        <v>69</v>
      </c>
    </row>
    <row r="24" ht="25.5" customHeight="1">
      <c r="A24" s="2" t="s">
        <v>12</v>
      </c>
      <c r="B24" s="2">
        <v>7.0</v>
      </c>
      <c r="C24" s="8">
        <v>0.0331</v>
      </c>
      <c r="D24" s="8">
        <v>0.9887</v>
      </c>
      <c r="E24" s="8">
        <v>0.053</v>
      </c>
      <c r="F24" s="8">
        <v>0.983</v>
      </c>
      <c r="G24" s="2">
        <v>242.0</v>
      </c>
      <c r="H24" s="2" t="s">
        <v>69</v>
      </c>
    </row>
    <row r="25" ht="25.5" customHeight="1">
      <c r="A25" s="2" t="s">
        <v>12</v>
      </c>
      <c r="B25" s="2">
        <v>8.0</v>
      </c>
      <c r="C25" s="8">
        <v>0.0277</v>
      </c>
      <c r="D25" s="8">
        <v>0.991</v>
      </c>
      <c r="E25" s="8">
        <v>0.0599</v>
      </c>
      <c r="F25" s="8">
        <v>0.9782</v>
      </c>
      <c r="G25" s="2">
        <v>216.0</v>
      </c>
      <c r="H25" s="2" t="s">
        <v>69</v>
      </c>
    </row>
    <row r="26" ht="25.5" customHeight="1">
      <c r="A26" s="2" t="s">
        <v>13</v>
      </c>
      <c r="B26" s="2">
        <v>1.0</v>
      </c>
      <c r="C26" s="8">
        <v>0.1367</v>
      </c>
      <c r="D26" s="8">
        <v>0.9456</v>
      </c>
      <c r="E26" s="8">
        <v>0.0959</v>
      </c>
      <c r="F26" s="8">
        <v>0.9654</v>
      </c>
      <c r="G26" s="2">
        <v>107.0</v>
      </c>
      <c r="H26" s="2" t="s">
        <v>70</v>
      </c>
    </row>
    <row r="27" ht="25.5" customHeight="1">
      <c r="A27" s="2" t="s">
        <v>13</v>
      </c>
      <c r="B27" s="2">
        <v>2.0</v>
      </c>
      <c r="C27" s="8">
        <v>0.0647</v>
      </c>
      <c r="D27" s="8">
        <v>0.9751</v>
      </c>
      <c r="E27" s="8">
        <v>0.0678</v>
      </c>
      <c r="F27" s="8">
        <v>0.973</v>
      </c>
      <c r="G27" s="2">
        <v>112.0</v>
      </c>
      <c r="H27" s="2" t="s">
        <v>70</v>
      </c>
    </row>
    <row r="28" ht="25.5" customHeight="1">
      <c r="A28" s="2" t="s">
        <v>13</v>
      </c>
      <c r="B28" s="2">
        <v>3.0</v>
      </c>
      <c r="C28" s="8">
        <v>0.0436</v>
      </c>
      <c r="D28" s="8">
        <v>0.984</v>
      </c>
      <c r="E28" s="8">
        <v>0.0738</v>
      </c>
      <c r="F28" s="8">
        <v>0.973</v>
      </c>
      <c r="G28" s="2">
        <v>111.0</v>
      </c>
      <c r="H28" s="2" t="s">
        <v>70</v>
      </c>
    </row>
    <row r="29" ht="25.5" customHeight="1">
      <c r="A29" s="2" t="s">
        <v>13</v>
      </c>
      <c r="B29" s="2">
        <v>4.0</v>
      </c>
      <c r="C29" s="8">
        <v>0.033</v>
      </c>
      <c r="D29" s="8">
        <v>0.988</v>
      </c>
      <c r="E29" s="8">
        <v>0.0642</v>
      </c>
      <c r="F29" s="8">
        <v>0.9782</v>
      </c>
      <c r="G29" s="2">
        <v>112.0</v>
      </c>
      <c r="H29" s="2" t="s">
        <v>70</v>
      </c>
    </row>
    <row r="30" ht="25.5" customHeight="1">
      <c r="A30" s="2" t="s">
        <v>13</v>
      </c>
      <c r="B30" s="2">
        <v>5.0</v>
      </c>
      <c r="C30" s="8">
        <v>0.0263</v>
      </c>
      <c r="D30" s="8">
        <v>0.9912</v>
      </c>
      <c r="E30" s="8">
        <v>0.0723</v>
      </c>
      <c r="F30" s="8">
        <v>0.9754</v>
      </c>
      <c r="G30" s="2">
        <v>107.0</v>
      </c>
      <c r="H30" s="2" t="s">
        <v>70</v>
      </c>
    </row>
    <row r="31" ht="25.5" customHeight="1">
      <c r="A31" s="2" t="s">
        <v>13</v>
      </c>
      <c r="B31" s="2">
        <v>6.0</v>
      </c>
      <c r="C31" s="8">
        <v>0.0246</v>
      </c>
      <c r="D31" s="8">
        <v>0.9918</v>
      </c>
      <c r="E31" s="8">
        <v>0.0681</v>
      </c>
      <c r="F31" s="8">
        <v>0.9758</v>
      </c>
      <c r="G31" s="2">
        <v>108.0</v>
      </c>
      <c r="H31" s="2" t="s">
        <v>70</v>
      </c>
    </row>
    <row r="32" ht="25.5" customHeight="1">
      <c r="A32" s="2" t="s">
        <v>13</v>
      </c>
      <c r="B32" s="2">
        <v>7.0</v>
      </c>
      <c r="C32" s="8">
        <v>0.0197</v>
      </c>
      <c r="D32" s="8">
        <v>0.993</v>
      </c>
      <c r="E32" s="8">
        <v>0.0729</v>
      </c>
      <c r="F32" s="8">
        <v>0.9784</v>
      </c>
      <c r="G32" s="2">
        <v>126.0</v>
      </c>
      <c r="H32" s="2" t="s">
        <v>70</v>
      </c>
    </row>
    <row r="33" ht="25.5" customHeight="1">
      <c r="A33" s="2" t="s">
        <v>13</v>
      </c>
      <c r="B33" s="2">
        <v>8.0</v>
      </c>
      <c r="C33" s="8">
        <v>0.0153</v>
      </c>
      <c r="D33" s="8">
        <v>0.9948</v>
      </c>
      <c r="E33" s="8">
        <v>0.068</v>
      </c>
      <c r="F33" s="8">
        <v>0.9806</v>
      </c>
      <c r="G33" s="2">
        <v>133.0</v>
      </c>
      <c r="H33" s="2" t="s">
        <v>70</v>
      </c>
    </row>
    <row r="34" ht="25.5" customHeight="1">
      <c r="A34" s="2" t="s">
        <v>14</v>
      </c>
      <c r="B34" s="2">
        <v>1.0</v>
      </c>
      <c r="C34" s="8">
        <v>0.1158</v>
      </c>
      <c r="D34" s="8">
        <v>0.9542</v>
      </c>
      <c r="E34" s="8">
        <v>0.0769</v>
      </c>
      <c r="F34" s="8">
        <v>0.9724</v>
      </c>
      <c r="G34" s="2">
        <v>110.0</v>
      </c>
      <c r="H34" s="2" t="s">
        <v>71</v>
      </c>
    </row>
    <row r="35" ht="25.5" customHeight="1">
      <c r="A35" s="2" t="s">
        <v>14</v>
      </c>
      <c r="B35" s="2">
        <v>2.0</v>
      </c>
      <c r="C35" s="8">
        <v>0.059</v>
      </c>
      <c r="D35" s="8">
        <v>0.9777</v>
      </c>
      <c r="E35" s="8">
        <v>0.0648</v>
      </c>
      <c r="F35" s="8">
        <v>0.9764</v>
      </c>
      <c r="G35" s="2">
        <v>110.0</v>
      </c>
      <c r="H35" s="2" t="s">
        <v>71</v>
      </c>
    </row>
    <row r="36" ht="25.5" customHeight="1">
      <c r="A36" s="2" t="s">
        <v>14</v>
      </c>
      <c r="B36" s="2">
        <v>3.0</v>
      </c>
      <c r="C36" s="8">
        <v>0.0418</v>
      </c>
      <c r="D36" s="8">
        <v>0.9848</v>
      </c>
      <c r="E36" s="8">
        <v>0.0693</v>
      </c>
      <c r="F36" s="8">
        <v>0.9762</v>
      </c>
      <c r="G36" s="2">
        <v>107.0</v>
      </c>
      <c r="H36" s="2" t="s">
        <v>71</v>
      </c>
    </row>
    <row r="37" ht="25.5" customHeight="1">
      <c r="A37" s="2" t="s">
        <v>14</v>
      </c>
      <c r="B37" s="2">
        <v>4.0</v>
      </c>
      <c r="C37" s="8">
        <v>0.0329</v>
      </c>
      <c r="D37" s="8">
        <v>0.9882</v>
      </c>
      <c r="E37" s="8">
        <v>0.063</v>
      </c>
      <c r="F37" s="8">
        <v>0.9788</v>
      </c>
      <c r="G37" s="2">
        <v>109.0</v>
      </c>
      <c r="H37" s="2" t="s">
        <v>71</v>
      </c>
    </row>
    <row r="38" ht="25.5" customHeight="1">
      <c r="A38" s="2" t="s">
        <v>14</v>
      </c>
      <c r="B38" s="2">
        <v>5.0</v>
      </c>
      <c r="C38" s="8">
        <v>0.0247</v>
      </c>
      <c r="D38" s="8">
        <v>0.9913</v>
      </c>
      <c r="E38" s="8">
        <v>0.0821</v>
      </c>
      <c r="F38" s="8">
        <v>0.9744</v>
      </c>
      <c r="G38" s="2">
        <v>108.0</v>
      </c>
      <c r="H38" s="2" t="s">
        <v>71</v>
      </c>
    </row>
    <row r="39" ht="25.5" customHeight="1">
      <c r="A39" s="2" t="s">
        <v>14</v>
      </c>
      <c r="B39" s="2">
        <v>6.0</v>
      </c>
      <c r="C39" s="8">
        <v>0.0232</v>
      </c>
      <c r="D39" s="8">
        <v>0.9921</v>
      </c>
      <c r="E39" s="8">
        <v>0.0797</v>
      </c>
      <c r="F39" s="8">
        <v>0.9738</v>
      </c>
      <c r="G39" s="2">
        <v>109.0</v>
      </c>
      <c r="H39" s="2" t="s">
        <v>71</v>
      </c>
    </row>
    <row r="40" ht="25.5" customHeight="1">
      <c r="A40" s="2" t="s">
        <v>14</v>
      </c>
      <c r="B40" s="2">
        <v>7.0</v>
      </c>
      <c r="C40" s="8">
        <v>0.0213</v>
      </c>
      <c r="D40" s="8">
        <v>0.9926</v>
      </c>
      <c r="E40" s="8">
        <v>0.0756</v>
      </c>
      <c r="F40" s="8">
        <v>0.9792</v>
      </c>
      <c r="G40" s="2">
        <v>109.0</v>
      </c>
      <c r="H40" s="2" t="s">
        <v>71</v>
      </c>
    </row>
    <row r="41" ht="25.5" customHeight="1">
      <c r="A41" s="2" t="s">
        <v>14</v>
      </c>
      <c r="B41" s="2">
        <v>8.0</v>
      </c>
      <c r="C41" s="8">
        <v>0.0166</v>
      </c>
      <c r="D41" s="8">
        <v>0.994</v>
      </c>
      <c r="E41" s="8">
        <v>0.0711</v>
      </c>
      <c r="F41" s="8">
        <v>0.981</v>
      </c>
      <c r="G41" s="2">
        <v>109.0</v>
      </c>
      <c r="H41" s="2" t="s">
        <v>71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25"/>
    <col customWidth="1" min="2" max="2" width="47.75"/>
    <col customWidth="1" min="3" max="3" width="32.75"/>
    <col customWidth="1" min="4" max="4" width="51.13"/>
    <col customWidth="1" min="5" max="26" width="8.63"/>
  </cols>
  <sheetData>
    <row r="1" ht="31.5" customHeight="1">
      <c r="A1" s="1" t="s">
        <v>72</v>
      </c>
      <c r="B1" s="2"/>
      <c r="C1" s="2"/>
      <c r="D1" s="2"/>
    </row>
    <row r="2" ht="25.5" customHeight="1">
      <c r="A2" s="3" t="s">
        <v>73</v>
      </c>
      <c r="B2" s="2"/>
      <c r="C2" s="2"/>
      <c r="D2" s="2"/>
    </row>
    <row r="3" ht="25.5" customHeight="1">
      <c r="A3" s="2"/>
      <c r="B3" s="2"/>
      <c r="C3" s="2"/>
      <c r="D3" s="2"/>
    </row>
    <row r="4" ht="42.0" customHeight="1">
      <c r="A4" s="4" t="s">
        <v>74</v>
      </c>
      <c r="B4" s="4" t="s">
        <v>75</v>
      </c>
      <c r="C4" s="4" t="s">
        <v>76</v>
      </c>
      <c r="D4" s="4" t="s">
        <v>25</v>
      </c>
    </row>
    <row r="5" ht="45.75" customHeight="1">
      <c r="A5" s="7" t="s">
        <v>77</v>
      </c>
      <c r="B5" s="7" t="s">
        <v>78</v>
      </c>
      <c r="C5" s="7" t="s">
        <v>79</v>
      </c>
      <c r="D5" s="7" t="s">
        <v>80</v>
      </c>
    </row>
    <row r="6" ht="45.75" customHeight="1">
      <c r="A6" s="7" t="s">
        <v>81</v>
      </c>
      <c r="B6" s="7">
        <v>202599.0</v>
      </c>
      <c r="C6" s="7" t="s">
        <v>82</v>
      </c>
      <c r="D6" s="7" t="s">
        <v>83</v>
      </c>
    </row>
    <row r="7" ht="45.75" customHeight="1">
      <c r="A7" s="7" t="s">
        <v>84</v>
      </c>
      <c r="B7" s="7">
        <v>10177.0</v>
      </c>
      <c r="C7" s="7" t="s">
        <v>85</v>
      </c>
      <c r="D7" s="7" t="s">
        <v>83</v>
      </c>
    </row>
    <row r="8" ht="45.75" customHeight="1">
      <c r="A8" s="7" t="s">
        <v>86</v>
      </c>
      <c r="B8" s="7">
        <v>2.0</v>
      </c>
      <c r="C8" s="7" t="s">
        <v>87</v>
      </c>
      <c r="D8" s="7" t="s">
        <v>88</v>
      </c>
    </row>
    <row r="9" ht="45.75" customHeight="1">
      <c r="A9" s="7" t="s">
        <v>89</v>
      </c>
      <c r="B9" s="7">
        <v>20000.0</v>
      </c>
      <c r="C9" s="7" t="s">
        <v>90</v>
      </c>
      <c r="D9" s="7" t="s">
        <v>88</v>
      </c>
    </row>
    <row r="10" ht="45.75" customHeight="1">
      <c r="A10" s="7" t="s">
        <v>91</v>
      </c>
      <c r="B10" s="7">
        <v>5000.0</v>
      </c>
      <c r="C10" s="7" t="s">
        <v>92</v>
      </c>
      <c r="D10" s="7" t="s">
        <v>88</v>
      </c>
    </row>
    <row r="11" ht="45.75" customHeight="1">
      <c r="A11" s="7" t="s">
        <v>93</v>
      </c>
      <c r="B11" s="7">
        <v>5000.0</v>
      </c>
      <c r="C11" s="7" t="s">
        <v>94</v>
      </c>
      <c r="D11" s="7" t="s">
        <v>88</v>
      </c>
    </row>
    <row r="12" ht="45.75" customHeight="1">
      <c r="A12" s="7" t="s">
        <v>95</v>
      </c>
      <c r="B12" s="7">
        <f>SUM(B9:B11)</f>
        <v>30000</v>
      </c>
      <c r="C12" s="7" t="s">
        <v>96</v>
      </c>
      <c r="D12" s="7" t="s">
        <v>88</v>
      </c>
    </row>
    <row r="13" ht="45.75" customHeight="1">
      <c r="A13" s="7" t="s">
        <v>97</v>
      </c>
      <c r="B13" s="7">
        <v>2893.0</v>
      </c>
      <c r="C13" s="7" t="s">
        <v>98</v>
      </c>
      <c r="D13" s="7" t="s">
        <v>42</v>
      </c>
    </row>
    <row r="14" ht="45.75" customHeight="1">
      <c r="A14" s="7" t="s">
        <v>99</v>
      </c>
      <c r="B14" s="7">
        <v>2107.0</v>
      </c>
      <c r="C14" s="7" t="s">
        <v>98</v>
      </c>
      <c r="D14" s="7" t="s">
        <v>42</v>
      </c>
    </row>
    <row r="15" ht="45.75" customHeight="1">
      <c r="A15" s="7" t="s">
        <v>100</v>
      </c>
      <c r="B15" s="10">
        <f>B13/B11</f>
        <v>0.5786</v>
      </c>
      <c r="C15" s="7" t="s">
        <v>101</v>
      </c>
      <c r="D15" s="7" t="s">
        <v>42</v>
      </c>
    </row>
    <row r="16" ht="45.75" customHeight="1">
      <c r="A16" s="7" t="s">
        <v>102</v>
      </c>
      <c r="B16" s="7" t="s">
        <v>103</v>
      </c>
      <c r="C16" s="7" t="s">
        <v>104</v>
      </c>
      <c r="D16" s="7" t="s">
        <v>88</v>
      </c>
    </row>
    <row r="17" ht="45.75" customHeight="1">
      <c r="A17" s="7" t="s">
        <v>61</v>
      </c>
      <c r="B17" s="7">
        <v>8.0</v>
      </c>
      <c r="C17" s="7" t="s">
        <v>105</v>
      </c>
      <c r="D17" s="7" t="s">
        <v>106</v>
      </c>
    </row>
    <row r="18" ht="45.75" customHeight="1">
      <c r="A18" s="7" t="s">
        <v>107</v>
      </c>
      <c r="B18" s="7">
        <v>64.0</v>
      </c>
      <c r="C18" s="7" t="s">
        <v>108</v>
      </c>
      <c r="D18" s="7" t="s">
        <v>109</v>
      </c>
    </row>
    <row r="19" ht="45.75" customHeight="1">
      <c r="A19" s="7" t="s">
        <v>110</v>
      </c>
      <c r="B19" s="11">
        <v>1.0E-4</v>
      </c>
      <c r="C19" s="7" t="s">
        <v>111</v>
      </c>
      <c r="D19" s="7" t="s">
        <v>112</v>
      </c>
    </row>
    <row r="20" ht="45.75" customHeight="1">
      <c r="A20" s="7" t="s">
        <v>113</v>
      </c>
      <c r="B20" s="7">
        <v>42.0</v>
      </c>
      <c r="C20" s="7" t="s">
        <v>114</v>
      </c>
      <c r="D20" s="7" t="s">
        <v>115</v>
      </c>
    </row>
    <row r="21" ht="45.75" customHeight="1">
      <c r="A21" s="7" t="s">
        <v>116</v>
      </c>
      <c r="B21" s="7" t="s">
        <v>117</v>
      </c>
      <c r="C21" s="7" t="s">
        <v>118</v>
      </c>
      <c r="D21" s="7" t="s">
        <v>88</v>
      </c>
    </row>
    <row r="22" ht="45.75" customHeight="1">
      <c r="A22" s="7" t="s">
        <v>119</v>
      </c>
      <c r="B22" s="7">
        <v>2.0</v>
      </c>
      <c r="C22" s="7" t="s">
        <v>120</v>
      </c>
      <c r="D22" s="7" t="s">
        <v>109</v>
      </c>
    </row>
    <row r="23" ht="45.75" customHeight="1">
      <c r="A23" s="7" t="s">
        <v>121</v>
      </c>
      <c r="B23" s="7" t="s">
        <v>122</v>
      </c>
      <c r="C23" s="7" t="s">
        <v>123</v>
      </c>
      <c r="D23" s="7" t="s">
        <v>124</v>
      </c>
    </row>
    <row r="24" ht="45.75" customHeight="1">
      <c r="A24" s="7" t="s">
        <v>125</v>
      </c>
      <c r="B24" s="7" t="s">
        <v>126</v>
      </c>
      <c r="C24" s="7" t="s">
        <v>127</v>
      </c>
      <c r="D24" s="7" t="s">
        <v>124</v>
      </c>
    </row>
    <row r="25" ht="45.75" customHeight="1">
      <c r="A25" s="7" t="s">
        <v>128</v>
      </c>
      <c r="B25" s="7" t="s">
        <v>129</v>
      </c>
      <c r="C25" s="7" t="s">
        <v>130</v>
      </c>
      <c r="D25" s="7" t="s">
        <v>124</v>
      </c>
    </row>
    <row r="26" ht="45.75" customHeight="1">
      <c r="A26" s="7" t="s">
        <v>131</v>
      </c>
      <c r="B26" s="7" t="s">
        <v>132</v>
      </c>
      <c r="C26" s="7" t="s">
        <v>133</v>
      </c>
      <c r="D26" s="7" t="s">
        <v>134</v>
      </c>
    </row>
    <row r="27" ht="45.75" customHeight="1">
      <c r="A27" s="7" t="s">
        <v>135</v>
      </c>
      <c r="B27" s="7" t="s">
        <v>136</v>
      </c>
      <c r="C27" s="7" t="s">
        <v>137</v>
      </c>
      <c r="D27" s="7" t="s">
        <v>88</v>
      </c>
    </row>
    <row r="28" ht="45.75" customHeight="1">
      <c r="A28" s="7" t="s">
        <v>138</v>
      </c>
      <c r="B28" s="7" t="s">
        <v>139</v>
      </c>
      <c r="C28" s="7" t="s">
        <v>140</v>
      </c>
      <c r="D28" s="7" t="s">
        <v>88</v>
      </c>
    </row>
    <row r="29" ht="45.75" customHeight="1">
      <c r="A29" s="7" t="s">
        <v>141</v>
      </c>
      <c r="B29" s="7" t="s">
        <v>142</v>
      </c>
      <c r="C29" s="7" t="s">
        <v>140</v>
      </c>
      <c r="D29" s="7" t="s">
        <v>88</v>
      </c>
    </row>
    <row r="30" ht="45.75" customHeight="1">
      <c r="A30" s="7" t="s">
        <v>143</v>
      </c>
      <c r="B30" s="7" t="s">
        <v>144</v>
      </c>
      <c r="C30" s="7" t="s">
        <v>145</v>
      </c>
      <c r="D30" s="7" t="s">
        <v>88</v>
      </c>
    </row>
    <row r="31" ht="45.75" customHeight="1">
      <c r="A31" s="7" t="s">
        <v>146</v>
      </c>
      <c r="B31" s="7" t="s">
        <v>147</v>
      </c>
      <c r="C31" s="7" t="s">
        <v>148</v>
      </c>
      <c r="D31" s="7" t="s">
        <v>69</v>
      </c>
    </row>
    <row r="32" ht="45.75" customHeight="1">
      <c r="A32" s="7" t="s">
        <v>149</v>
      </c>
      <c r="B32" s="7" t="s">
        <v>150</v>
      </c>
      <c r="C32" s="7" t="s">
        <v>151</v>
      </c>
      <c r="D32" s="7" t="s">
        <v>42</v>
      </c>
    </row>
    <row r="33" ht="45.75" customHeight="1">
      <c r="A33" s="7" t="s">
        <v>152</v>
      </c>
      <c r="B33" s="7" t="s">
        <v>153</v>
      </c>
      <c r="C33" s="7" t="s">
        <v>154</v>
      </c>
      <c r="D33" s="7" t="s">
        <v>155</v>
      </c>
    </row>
    <row r="34" ht="45.75" customHeight="1">
      <c r="A34" s="7" t="s">
        <v>156</v>
      </c>
      <c r="B34" s="7" t="s">
        <v>157</v>
      </c>
      <c r="C34" s="7" t="s">
        <v>158</v>
      </c>
      <c r="D34" s="7" t="s">
        <v>69</v>
      </c>
    </row>
    <row r="35" ht="25.5" customHeight="1">
      <c r="A35" s="2"/>
      <c r="B35" s="2"/>
      <c r="C35" s="2"/>
      <c r="D35" s="2"/>
    </row>
    <row r="36" ht="25.5" customHeight="1">
      <c r="A36" s="2"/>
      <c r="B36" s="2"/>
      <c r="C36" s="2"/>
      <c r="D36" s="2"/>
    </row>
    <row r="37" ht="25.5" customHeight="1">
      <c r="A37" s="2"/>
      <c r="B37" s="2"/>
      <c r="C37" s="2"/>
      <c r="D37" s="2"/>
    </row>
    <row r="38" ht="25.5" customHeight="1">
      <c r="A38" s="2"/>
      <c r="B38" s="2"/>
      <c r="C38" s="2"/>
      <c r="D38" s="2"/>
    </row>
    <row r="39" ht="25.5" customHeight="1">
      <c r="A39" s="2"/>
      <c r="B39" s="2"/>
      <c r="C39" s="2"/>
      <c r="D39" s="2"/>
    </row>
    <row r="40" ht="25.5" customHeight="1">
      <c r="A40" s="2"/>
      <c r="B40" s="2"/>
      <c r="C40" s="2"/>
      <c r="D40" s="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80.0"/>
    <col customWidth="1" min="3" max="3" width="20.0"/>
    <col customWidth="1" min="4" max="4" width="18.88"/>
    <col customWidth="1" min="5" max="5" width="42.25"/>
    <col customWidth="1" min="6" max="6" width="44.5"/>
    <col customWidth="1" min="7" max="7" width="51.13"/>
    <col customWidth="1" min="8" max="26" width="8.63"/>
  </cols>
  <sheetData>
    <row r="1" ht="31.5" customHeight="1">
      <c r="A1" s="1" t="s">
        <v>159</v>
      </c>
      <c r="B1" s="2"/>
      <c r="C1" s="2"/>
      <c r="D1" s="2"/>
      <c r="E1" s="2"/>
      <c r="F1" s="2"/>
      <c r="G1" s="2"/>
    </row>
    <row r="2" ht="25.5" customHeight="1">
      <c r="A2" s="3" t="s">
        <v>160</v>
      </c>
      <c r="B2" s="2"/>
      <c r="C2" s="2"/>
      <c r="D2" s="2"/>
      <c r="E2" s="2"/>
      <c r="F2" s="2"/>
      <c r="G2" s="2"/>
    </row>
    <row r="3" ht="25.5" customHeight="1">
      <c r="A3" s="2"/>
      <c r="B3" s="2"/>
      <c r="C3" s="2"/>
      <c r="D3" s="2"/>
      <c r="E3" s="2"/>
      <c r="F3" s="2"/>
      <c r="G3" s="2"/>
    </row>
    <row r="4" ht="42.0" customHeight="1">
      <c r="A4" s="4" t="s">
        <v>2</v>
      </c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166</v>
      </c>
    </row>
    <row r="5" ht="57.75" customHeight="1">
      <c r="A5" s="7" t="s">
        <v>10</v>
      </c>
      <c r="B5" s="7" t="s">
        <v>167</v>
      </c>
      <c r="C5" s="7" t="s">
        <v>168</v>
      </c>
      <c r="D5" s="7" t="s">
        <v>169</v>
      </c>
      <c r="E5" s="7" t="s">
        <v>170</v>
      </c>
      <c r="F5" s="7" t="s">
        <v>171</v>
      </c>
      <c r="G5" s="7" t="s">
        <v>172</v>
      </c>
    </row>
    <row r="6" ht="57.75" customHeight="1">
      <c r="A6" s="7" t="s">
        <v>11</v>
      </c>
      <c r="B6" s="7" t="s">
        <v>167</v>
      </c>
      <c r="C6" s="7" t="s">
        <v>168</v>
      </c>
      <c r="D6" s="7" t="s">
        <v>169</v>
      </c>
      <c r="E6" s="7" t="s">
        <v>170</v>
      </c>
      <c r="F6" s="7" t="s">
        <v>173</v>
      </c>
      <c r="G6" s="7" t="s">
        <v>174</v>
      </c>
    </row>
    <row r="7" ht="57.75" customHeight="1">
      <c r="A7" s="7" t="s">
        <v>12</v>
      </c>
      <c r="B7" s="7" t="s">
        <v>167</v>
      </c>
      <c r="C7" s="7" t="s">
        <v>168</v>
      </c>
      <c r="D7" s="7" t="s">
        <v>169</v>
      </c>
      <c r="E7" s="7" t="s">
        <v>170</v>
      </c>
      <c r="F7" s="7" t="s">
        <v>173</v>
      </c>
      <c r="G7" s="7" t="s">
        <v>175</v>
      </c>
    </row>
    <row r="8" ht="57.75" customHeight="1">
      <c r="A8" s="7" t="s">
        <v>13</v>
      </c>
      <c r="B8" s="7" t="s">
        <v>167</v>
      </c>
      <c r="C8" s="7" t="s">
        <v>168</v>
      </c>
      <c r="D8" s="7" t="s">
        <v>169</v>
      </c>
      <c r="E8" s="7" t="s">
        <v>170</v>
      </c>
      <c r="F8" s="7" t="s">
        <v>173</v>
      </c>
      <c r="G8" s="7" t="s">
        <v>176</v>
      </c>
    </row>
    <row r="9" ht="57.75" customHeight="1">
      <c r="A9" s="7" t="s">
        <v>14</v>
      </c>
      <c r="B9" s="7" t="s">
        <v>167</v>
      </c>
      <c r="C9" s="7" t="s">
        <v>168</v>
      </c>
      <c r="D9" s="7" t="s">
        <v>169</v>
      </c>
      <c r="E9" s="7" t="s">
        <v>170</v>
      </c>
      <c r="F9" s="7" t="s">
        <v>173</v>
      </c>
      <c r="G9" s="7" t="s">
        <v>177</v>
      </c>
    </row>
    <row r="10" ht="25.5" customHeight="1">
      <c r="A10" s="2"/>
      <c r="B10" s="2"/>
      <c r="C10" s="2"/>
      <c r="D10" s="2"/>
      <c r="E10" s="2"/>
      <c r="F10" s="2"/>
      <c r="G10" s="2"/>
    </row>
    <row r="11" ht="25.5" customHeight="1">
      <c r="A11" s="2"/>
      <c r="B11" s="2"/>
      <c r="C11" s="2"/>
      <c r="D11" s="2"/>
      <c r="E11" s="2"/>
      <c r="F11" s="2"/>
      <c r="G11" s="2"/>
    </row>
    <row r="12" ht="42.0" customHeight="1">
      <c r="A12" s="4" t="s">
        <v>178</v>
      </c>
      <c r="B12" s="4" t="s">
        <v>179</v>
      </c>
      <c r="C12" s="2"/>
      <c r="D12" s="2"/>
      <c r="E12" s="2"/>
      <c r="F12" s="2"/>
      <c r="G12" s="2"/>
    </row>
    <row r="13" ht="45.75" customHeight="1">
      <c r="A13" s="7" t="s">
        <v>180</v>
      </c>
      <c r="B13" s="7" t="s">
        <v>181</v>
      </c>
      <c r="C13" s="2"/>
      <c r="D13" s="2"/>
      <c r="E13" s="2"/>
      <c r="F13" s="2"/>
      <c r="G13" s="2"/>
    </row>
    <row r="14" ht="45.75" customHeight="1">
      <c r="A14" s="7" t="s">
        <v>182</v>
      </c>
      <c r="B14" s="7" t="s">
        <v>183</v>
      </c>
      <c r="C14" s="2"/>
      <c r="D14" s="2"/>
      <c r="E14" s="2"/>
      <c r="F14" s="2"/>
      <c r="G14" s="2"/>
    </row>
    <row r="15" ht="45.75" customHeight="1">
      <c r="A15" s="7" t="s">
        <v>184</v>
      </c>
      <c r="B15" s="7" t="s">
        <v>185</v>
      </c>
      <c r="C15" s="2"/>
      <c r="D15" s="2"/>
      <c r="E15" s="2"/>
      <c r="F15" s="2"/>
      <c r="G15" s="2"/>
    </row>
    <row r="16" ht="45.75" customHeight="1">
      <c r="A16" s="7" t="s">
        <v>186</v>
      </c>
      <c r="B16" s="7" t="s">
        <v>187</v>
      </c>
      <c r="C16" s="2"/>
      <c r="D16" s="2"/>
      <c r="E16" s="2"/>
      <c r="F16" s="2"/>
      <c r="G16" s="2"/>
    </row>
    <row r="17" ht="45.75" customHeight="1">
      <c r="A17" s="7" t="s">
        <v>188</v>
      </c>
      <c r="B17" s="7" t="s">
        <v>189</v>
      </c>
      <c r="C17" s="2"/>
      <c r="D17" s="2"/>
      <c r="E17" s="2"/>
      <c r="F17" s="2"/>
      <c r="G17" s="2"/>
    </row>
    <row r="18" ht="45.75" customHeight="1">
      <c r="A18" s="7" t="s">
        <v>190</v>
      </c>
      <c r="B18" s="7" t="s">
        <v>191</v>
      </c>
      <c r="C18" s="2"/>
      <c r="D18" s="2"/>
      <c r="E18" s="2"/>
      <c r="F18" s="2"/>
      <c r="G18" s="2"/>
    </row>
    <row r="19" ht="45.75" customHeight="1">
      <c r="A19" s="7" t="s">
        <v>192</v>
      </c>
      <c r="B19" s="7" t="s">
        <v>193</v>
      </c>
      <c r="C19" s="2"/>
      <c r="D19" s="2"/>
      <c r="E19" s="2"/>
      <c r="F19" s="2"/>
      <c r="G19" s="2"/>
    </row>
    <row r="20" ht="45.75" customHeight="1">
      <c r="A20" s="7" t="s">
        <v>194</v>
      </c>
      <c r="B20" s="7" t="s">
        <v>195</v>
      </c>
      <c r="C20" s="2"/>
      <c r="D20" s="2"/>
      <c r="E20" s="2"/>
      <c r="F20" s="2"/>
      <c r="G20" s="2"/>
    </row>
    <row r="21" ht="45.75" customHeight="1">
      <c r="A21" s="7" t="s">
        <v>196</v>
      </c>
      <c r="B21" s="7" t="s">
        <v>197</v>
      </c>
      <c r="C21" s="2"/>
      <c r="D21" s="2"/>
      <c r="E21" s="2"/>
      <c r="F21" s="2"/>
      <c r="G21" s="2"/>
    </row>
    <row r="22" ht="45.75" customHeight="1">
      <c r="A22" s="7" t="s">
        <v>198</v>
      </c>
      <c r="B22" s="7" t="s">
        <v>199</v>
      </c>
      <c r="C22" s="2"/>
      <c r="D22" s="2"/>
      <c r="E22" s="2"/>
      <c r="F22" s="2"/>
      <c r="G22" s="2"/>
    </row>
    <row r="23" ht="45.75" customHeight="1">
      <c r="A23" s="7" t="s">
        <v>200</v>
      </c>
      <c r="B23" s="7" t="s">
        <v>201</v>
      </c>
      <c r="C23" s="2"/>
      <c r="D23" s="2"/>
      <c r="E23" s="2"/>
      <c r="F23" s="2"/>
      <c r="G23" s="2"/>
    </row>
    <row r="24" ht="45.75" customHeight="1">
      <c r="A24" s="7" t="s">
        <v>202</v>
      </c>
      <c r="B24" s="7" t="s">
        <v>203</v>
      </c>
      <c r="C24" s="2"/>
      <c r="D24" s="2"/>
      <c r="E24" s="2"/>
      <c r="F24" s="2"/>
      <c r="G24" s="2"/>
    </row>
    <row r="25" ht="45.75" customHeight="1">
      <c r="A25" s="7" t="s">
        <v>204</v>
      </c>
      <c r="B25" s="7" t="s">
        <v>205</v>
      </c>
      <c r="C25" s="2"/>
      <c r="D25" s="2"/>
      <c r="E25" s="2"/>
      <c r="F25" s="2"/>
      <c r="G25" s="2"/>
    </row>
    <row r="26" ht="25.5" customHeight="1">
      <c r="A26" s="2"/>
      <c r="B26" s="2"/>
      <c r="C26" s="2"/>
      <c r="D26" s="2"/>
      <c r="E26" s="2"/>
      <c r="F26" s="2"/>
      <c r="G26" s="2"/>
    </row>
    <row r="27" ht="25.5" customHeight="1">
      <c r="A27" s="2"/>
      <c r="B27" s="2"/>
      <c r="C27" s="2"/>
      <c r="D27" s="2"/>
      <c r="E27" s="2"/>
      <c r="F27" s="2"/>
      <c r="G27" s="2"/>
    </row>
    <row r="28" ht="25.5" customHeight="1">
      <c r="A28" s="2"/>
      <c r="B28" s="2"/>
      <c r="C28" s="2"/>
      <c r="D28" s="2"/>
      <c r="E28" s="2"/>
      <c r="F28" s="2"/>
      <c r="G28" s="2"/>
    </row>
    <row r="29" ht="25.5" customHeight="1">
      <c r="A29" s="2"/>
      <c r="B29" s="2"/>
      <c r="C29" s="2"/>
      <c r="D29" s="2"/>
      <c r="E29" s="2"/>
      <c r="F29" s="2"/>
      <c r="G29" s="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7.75"/>
    <col customWidth="1" min="3" max="5" width="14.5"/>
    <col customWidth="1" min="6" max="6" width="25.0"/>
    <col customWidth="1" min="7" max="7" width="31.63"/>
    <col customWidth="1" min="8" max="8" width="50.0"/>
    <col customWidth="1" min="9" max="26" width="8.63"/>
  </cols>
  <sheetData>
    <row r="1" ht="31.5" customHeight="1">
      <c r="A1" s="1" t="s">
        <v>206</v>
      </c>
      <c r="B1" s="2"/>
      <c r="C1" s="2"/>
      <c r="D1" s="2"/>
      <c r="E1" s="2"/>
      <c r="F1" s="2"/>
      <c r="G1" s="2"/>
      <c r="H1" s="2"/>
    </row>
    <row r="2" ht="25.5" customHeight="1">
      <c r="A2" s="3" t="s">
        <v>207</v>
      </c>
      <c r="B2" s="2"/>
      <c r="C2" s="2"/>
      <c r="D2" s="2"/>
      <c r="E2" s="2"/>
      <c r="F2" s="2"/>
      <c r="G2" s="2"/>
      <c r="H2" s="2"/>
    </row>
    <row r="3" ht="25.5" customHeight="1">
      <c r="A3" s="2"/>
      <c r="B3" s="2"/>
      <c r="C3" s="2"/>
      <c r="D3" s="2"/>
      <c r="E3" s="2"/>
      <c r="F3" s="2"/>
      <c r="G3" s="2"/>
      <c r="H3" s="2"/>
    </row>
    <row r="4" ht="42.0" customHeight="1">
      <c r="A4" s="4" t="s">
        <v>2</v>
      </c>
      <c r="B4" s="4" t="s">
        <v>208</v>
      </c>
      <c r="C4" s="4" t="s">
        <v>209</v>
      </c>
      <c r="D4" s="4" t="s">
        <v>210</v>
      </c>
      <c r="E4" s="4" t="s">
        <v>211</v>
      </c>
      <c r="F4" s="4" t="s">
        <v>212</v>
      </c>
      <c r="G4" s="4" t="s">
        <v>213</v>
      </c>
      <c r="H4" s="4" t="s">
        <v>25</v>
      </c>
    </row>
    <row r="5" ht="45.0" customHeight="1">
      <c r="A5" s="7" t="s">
        <v>10</v>
      </c>
      <c r="B5" s="7" t="s">
        <v>214</v>
      </c>
      <c r="C5" s="7" t="s">
        <v>214</v>
      </c>
      <c r="D5" s="12"/>
      <c r="E5" s="12"/>
      <c r="F5" s="7" t="s">
        <v>215</v>
      </c>
      <c r="G5" s="7" t="s">
        <v>216</v>
      </c>
      <c r="H5" s="7" t="s">
        <v>217</v>
      </c>
    </row>
    <row r="6" ht="45.0" customHeight="1">
      <c r="A6" s="7" t="s">
        <v>11</v>
      </c>
      <c r="B6" s="7" t="s">
        <v>218</v>
      </c>
      <c r="C6" s="7" t="s">
        <v>36</v>
      </c>
      <c r="D6" s="12">
        <v>1.0</v>
      </c>
      <c r="E6" s="12">
        <v>0.0</v>
      </c>
      <c r="F6" s="7" t="s">
        <v>215</v>
      </c>
      <c r="G6" s="7" t="s">
        <v>202</v>
      </c>
      <c r="H6" s="7" t="s">
        <v>219</v>
      </c>
    </row>
    <row r="7" ht="45.0" customHeight="1">
      <c r="A7" s="7" t="s">
        <v>12</v>
      </c>
      <c r="B7" s="7" t="s">
        <v>220</v>
      </c>
      <c r="C7" s="7" t="s">
        <v>36</v>
      </c>
      <c r="D7" s="12">
        <v>0.915</v>
      </c>
      <c r="E7" s="12">
        <v>0.085</v>
      </c>
      <c r="F7" s="7" t="s">
        <v>215</v>
      </c>
      <c r="G7" s="7" t="s">
        <v>202</v>
      </c>
      <c r="H7" s="7" t="s">
        <v>155</v>
      </c>
    </row>
    <row r="8" ht="45.0" customHeight="1">
      <c r="A8" s="7" t="s">
        <v>13</v>
      </c>
      <c r="B8" s="7" t="s">
        <v>218</v>
      </c>
      <c r="C8" s="7" t="s">
        <v>36</v>
      </c>
      <c r="D8" s="12">
        <v>0.998</v>
      </c>
      <c r="E8" s="12">
        <v>0.002</v>
      </c>
      <c r="F8" s="7" t="s">
        <v>215</v>
      </c>
      <c r="G8" s="7" t="s">
        <v>202</v>
      </c>
      <c r="H8" s="7" t="s">
        <v>221</v>
      </c>
    </row>
    <row r="9" ht="45.0" customHeight="1">
      <c r="A9" s="7" t="s">
        <v>14</v>
      </c>
      <c r="B9" s="7" t="s">
        <v>220</v>
      </c>
      <c r="C9" s="7" t="s">
        <v>36</v>
      </c>
      <c r="D9" s="12">
        <v>1.0</v>
      </c>
      <c r="E9" s="12">
        <v>0.0</v>
      </c>
      <c r="F9" s="7" t="s">
        <v>215</v>
      </c>
      <c r="G9" s="7" t="s">
        <v>202</v>
      </c>
      <c r="H9" s="7" t="s">
        <v>222</v>
      </c>
    </row>
    <row r="10" ht="25.5" customHeight="1">
      <c r="A10" s="2"/>
      <c r="B10" s="2"/>
      <c r="C10" s="2"/>
      <c r="D10" s="2"/>
      <c r="E10" s="2"/>
      <c r="F10" s="2"/>
      <c r="G10" s="2"/>
      <c r="H10" s="2"/>
    </row>
    <row r="11" ht="25.5" customHeight="1">
      <c r="A11" s="2"/>
      <c r="B11" s="2"/>
      <c r="C11" s="2"/>
      <c r="D11" s="2"/>
      <c r="E11" s="2"/>
      <c r="F11" s="2"/>
      <c r="G11" s="2"/>
      <c r="H11" s="2"/>
    </row>
    <row r="12" ht="25.5" customHeight="1">
      <c r="A12" s="2"/>
      <c r="B12" s="2"/>
      <c r="C12" s="2"/>
      <c r="D12" s="2"/>
      <c r="E12" s="2"/>
      <c r="F12" s="2"/>
      <c r="G12" s="2"/>
      <c r="H12" s="2"/>
    </row>
    <row r="13" ht="25.5" customHeight="1">
      <c r="A13" s="2" t="s">
        <v>223</v>
      </c>
      <c r="B13" s="2"/>
      <c r="C13" s="2"/>
      <c r="D13" s="2"/>
      <c r="E13" s="2" t="s">
        <v>224</v>
      </c>
      <c r="F13" s="2"/>
      <c r="G13" s="2"/>
      <c r="H13" s="2"/>
    </row>
    <row r="14" ht="25.5" customHeight="1">
      <c r="A14" s="2"/>
      <c r="B14" s="2"/>
      <c r="C14" s="2"/>
      <c r="D14" s="2"/>
      <c r="E14" s="2"/>
      <c r="F14" s="2"/>
      <c r="G14" s="2"/>
      <c r="H14" s="2"/>
    </row>
    <row r="15" ht="25.5" customHeight="1">
      <c r="A15" s="2"/>
      <c r="B15" s="2"/>
      <c r="C15" s="2"/>
      <c r="D15" s="2"/>
      <c r="E15" s="2"/>
      <c r="F15" s="2"/>
      <c r="G15" s="2"/>
      <c r="H15" s="2"/>
    </row>
    <row r="16" ht="25.5" customHeight="1">
      <c r="A16" s="2"/>
      <c r="B16" s="2"/>
      <c r="C16" s="2"/>
      <c r="D16" s="2"/>
      <c r="E16" s="2"/>
      <c r="F16" s="2"/>
      <c r="G16" s="2"/>
      <c r="H16" s="2"/>
    </row>
    <row r="17" ht="25.5" customHeight="1">
      <c r="A17" s="2"/>
      <c r="B17" s="2"/>
      <c r="C17" s="2"/>
      <c r="D17" s="2"/>
      <c r="E17" s="2"/>
      <c r="F17" s="2"/>
      <c r="G17" s="2"/>
      <c r="H17" s="2"/>
    </row>
    <row r="18" ht="25.5" customHeight="1">
      <c r="A18" s="2"/>
      <c r="B18" s="2"/>
      <c r="C18" s="2"/>
      <c r="D18" s="2"/>
      <c r="E18" s="2"/>
      <c r="F18" s="2"/>
      <c r="G18" s="2"/>
      <c r="H18" s="2"/>
    </row>
    <row r="19" ht="25.5" customHeight="1">
      <c r="A19" s="2"/>
      <c r="B19" s="2"/>
      <c r="C19" s="2"/>
      <c r="D19" s="2"/>
      <c r="E19" s="2"/>
      <c r="F19" s="2"/>
      <c r="G19" s="2"/>
      <c r="H19" s="2"/>
    </row>
    <row r="20" ht="25.5" customHeight="1">
      <c r="A20" s="2"/>
      <c r="B20" s="2"/>
      <c r="C20" s="2"/>
      <c r="D20" s="2"/>
      <c r="E20" s="2"/>
      <c r="F20" s="2"/>
      <c r="G20" s="2"/>
      <c r="H20" s="2"/>
    </row>
    <row r="21" ht="25.5" customHeight="1">
      <c r="A21" s="2"/>
      <c r="B21" s="2"/>
      <c r="C21" s="2"/>
      <c r="D21" s="2"/>
      <c r="E21" s="2"/>
      <c r="F21" s="2"/>
      <c r="G21" s="2"/>
      <c r="H21" s="2"/>
    </row>
    <row r="22" ht="25.5" customHeight="1">
      <c r="A22" s="2"/>
      <c r="B22" s="2"/>
      <c r="C22" s="2"/>
      <c r="D22" s="2"/>
      <c r="E22" s="2"/>
      <c r="F22" s="2"/>
      <c r="G22" s="2"/>
      <c r="H22" s="2"/>
    </row>
    <row r="23" ht="25.5" customHeight="1">
      <c r="A23" s="2"/>
      <c r="B23" s="2"/>
      <c r="C23" s="2"/>
      <c r="D23" s="2"/>
      <c r="E23" s="2"/>
      <c r="F23" s="2"/>
      <c r="G23" s="2"/>
      <c r="H23" s="2"/>
    </row>
    <row r="24" ht="25.5" customHeight="1">
      <c r="A24" s="2"/>
      <c r="B24" s="2"/>
      <c r="C24" s="2"/>
      <c r="D24" s="2"/>
      <c r="E24" s="2"/>
      <c r="F24" s="2"/>
      <c r="G24" s="2"/>
      <c r="H24" s="2"/>
    </row>
    <row r="25" ht="25.5" customHeight="1">
      <c r="A25" s="2"/>
      <c r="B25" s="2"/>
      <c r="C25" s="2"/>
      <c r="D25" s="2"/>
      <c r="E25" s="2"/>
      <c r="F25" s="2"/>
      <c r="G25" s="2"/>
      <c r="H25" s="2"/>
    </row>
    <row r="26" ht="25.5" customHeight="1">
      <c r="A26" s="2"/>
      <c r="B26" s="2"/>
      <c r="C26" s="2"/>
      <c r="D26" s="2"/>
      <c r="E26" s="2"/>
      <c r="F26" s="2"/>
      <c r="G26" s="2"/>
      <c r="H26" s="2"/>
    </row>
    <row r="27" ht="25.5" customHeight="1">
      <c r="A27" s="2"/>
      <c r="B27" s="2"/>
      <c r="C27" s="2"/>
      <c r="D27" s="2"/>
      <c r="E27" s="2"/>
      <c r="F27" s="2"/>
      <c r="G27" s="2"/>
      <c r="H27" s="2"/>
    </row>
    <row r="28" ht="25.5" customHeight="1">
      <c r="A28" s="2"/>
      <c r="B28" s="2"/>
      <c r="C28" s="2"/>
      <c r="D28" s="2"/>
      <c r="E28" s="2"/>
      <c r="F28" s="2"/>
      <c r="G28" s="2"/>
      <c r="H28" s="2"/>
    </row>
    <row r="29" ht="25.5" customHeight="1">
      <c r="A29" s="2" t="s">
        <v>225</v>
      </c>
      <c r="B29" s="2"/>
      <c r="C29" s="2"/>
      <c r="D29" s="2"/>
      <c r="E29" s="2" t="s">
        <v>226</v>
      </c>
      <c r="F29" s="2"/>
      <c r="G29" s="2"/>
      <c r="H29" s="2"/>
    </row>
    <row r="30" ht="25.5" customHeight="1">
      <c r="A30" s="2"/>
      <c r="B30" s="2"/>
      <c r="C30" s="2"/>
      <c r="D30" s="2"/>
      <c r="E30" s="2"/>
      <c r="F30" s="2"/>
      <c r="G30" s="2"/>
      <c r="H30" s="2"/>
    </row>
    <row r="31" ht="25.5" customHeight="1">
      <c r="A31" s="2"/>
      <c r="B31" s="2"/>
      <c r="C31" s="2"/>
      <c r="D31" s="2"/>
      <c r="E31" s="2"/>
      <c r="F31" s="2"/>
      <c r="G31" s="2"/>
      <c r="H31" s="2"/>
    </row>
    <row r="32" ht="25.5" customHeight="1">
      <c r="A32" s="2"/>
      <c r="B32" s="2"/>
      <c r="C32" s="2"/>
      <c r="D32" s="2"/>
      <c r="E32" s="2"/>
      <c r="F32" s="2"/>
      <c r="G32" s="2"/>
      <c r="H32" s="2"/>
    </row>
    <row r="33" ht="25.5" customHeight="1">
      <c r="A33" s="2"/>
      <c r="B33" s="2"/>
      <c r="C33" s="2"/>
      <c r="D33" s="2"/>
      <c r="E33" s="2"/>
      <c r="F33" s="2"/>
      <c r="G33" s="2"/>
      <c r="H33" s="2"/>
    </row>
    <row r="34" ht="25.5" customHeight="1">
      <c r="A34" s="2"/>
      <c r="B34" s="2"/>
      <c r="C34" s="2"/>
      <c r="D34" s="2"/>
      <c r="E34" s="2"/>
      <c r="F34" s="2"/>
      <c r="G34" s="2"/>
      <c r="H34" s="2"/>
    </row>
    <row r="35" ht="25.5" customHeight="1">
      <c r="A35" s="2"/>
      <c r="B35" s="2"/>
      <c r="C35" s="2"/>
      <c r="D35" s="2"/>
      <c r="E35" s="2"/>
      <c r="F35" s="2"/>
      <c r="G35" s="2"/>
      <c r="H35" s="2"/>
    </row>
    <row r="36" ht="25.5" customHeight="1">
      <c r="A36" s="2"/>
      <c r="B36" s="2"/>
      <c r="C36" s="2"/>
      <c r="D36" s="2"/>
      <c r="E36" s="2"/>
      <c r="F36" s="2"/>
      <c r="G36" s="2"/>
      <c r="H36" s="2"/>
    </row>
    <row r="37" ht="25.5" customHeight="1">
      <c r="A37" s="2"/>
      <c r="B37" s="2"/>
      <c r="C37" s="2"/>
      <c r="D37" s="2"/>
      <c r="E37" s="2"/>
      <c r="F37" s="2"/>
      <c r="G37" s="2"/>
      <c r="H37" s="2"/>
    </row>
    <row r="38" ht="25.5" customHeight="1">
      <c r="A38" s="2"/>
      <c r="B38" s="2"/>
      <c r="C38" s="2"/>
      <c r="D38" s="2"/>
      <c r="E38" s="2"/>
      <c r="F38" s="2"/>
      <c r="G38" s="2"/>
      <c r="H38" s="2"/>
    </row>
    <row r="39" ht="25.5" customHeight="1">
      <c r="A39" s="2"/>
      <c r="B39" s="2"/>
      <c r="C39" s="2"/>
      <c r="D39" s="2"/>
      <c r="E39" s="2"/>
      <c r="F39" s="2"/>
      <c r="G39" s="2"/>
      <c r="H39" s="2"/>
    </row>
    <row r="40" ht="25.5" customHeight="1">
      <c r="A40" s="2"/>
      <c r="B40" s="2"/>
      <c r="C40" s="2"/>
      <c r="D40" s="2"/>
      <c r="E40" s="2"/>
      <c r="F40" s="2"/>
      <c r="G40" s="2"/>
      <c r="H40" s="2"/>
    </row>
    <row r="41" ht="25.5" customHeight="1">
      <c r="A41" s="2"/>
      <c r="B41" s="2"/>
      <c r="C41" s="2"/>
      <c r="D41" s="2"/>
      <c r="E41" s="2"/>
      <c r="F41" s="2"/>
      <c r="G41" s="2"/>
      <c r="H41" s="2"/>
    </row>
    <row r="42" ht="25.5" customHeight="1">
      <c r="A42" s="2"/>
      <c r="B42" s="2"/>
      <c r="C42" s="2"/>
      <c r="D42" s="2"/>
      <c r="E42" s="2"/>
      <c r="F42" s="2"/>
      <c r="G42" s="2"/>
      <c r="H42" s="2"/>
    </row>
    <row r="43" ht="25.5" customHeight="1">
      <c r="A43" s="2"/>
      <c r="B43" s="2"/>
      <c r="C43" s="2"/>
      <c r="D43" s="2"/>
      <c r="E43" s="2"/>
      <c r="F43" s="2"/>
      <c r="G43" s="2"/>
      <c r="H43" s="2"/>
    </row>
    <row r="44" ht="25.5" customHeight="1">
      <c r="A44" s="2"/>
      <c r="B44" s="2"/>
      <c r="C44" s="2"/>
      <c r="D44" s="2"/>
      <c r="E44" s="2"/>
      <c r="F44" s="2"/>
      <c r="G44" s="2"/>
      <c r="H44" s="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